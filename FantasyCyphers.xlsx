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ntasycypherrs" sheetId="1" state="visible" r:id="rId3"/>
    <sheet name="Sheet1" sheetId="2" state="visible" r:id="rId4"/>
  </sheets>
  <definedNames>
    <definedName function="false" hidden="true" localSheetId="0" name="ExternalData_1" vbProcedure="false">fantasycypherrs!$A$1:$D$194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<sst xmlns="http://schemas.openxmlformats.org/spreadsheetml/2006/main" count="2053" uniqueCount="1213">
  <si>
    <t xml:space="preserve">Fantasy Name</t>
  </si>
  <si>
    <t xml:space="preserve">Nom en Fantasy</t>
  </si>
  <si>
    <t xml:space="preserve">Cypher Name</t>
  </si>
  <si>
    <t xml:space="preserve">CSR Page</t>
  </si>
  <si>
    <t xml:space="preserve">Nom du Cypher</t>
  </si>
  <si>
    <t xml:space="preserve">Niveau</t>
  </si>
  <si>
    <t xml:space="preserve">Effet</t>
  </si>
  <si>
    <t xml:space="preserve">potion of climbing</t>
  </si>
  <si>
    <t xml:space="preserve">Potion d’escalade</t>
  </si>
  <si>
    <t xml:space="preserve">adhesion</t>
  </si>
  <si>
    <t xml:space="preserve">384</t>
  </si>
  <si>
    <t xml:space="preserve">potion of longevity</t>
  </si>
  <si>
    <t xml:space="preserve">Potion de longévité</t>
  </si>
  <si>
    <t xml:space="preserve">age taker</t>
  </si>
  <si>
    <t xml:space="preserve">potion of soothed reflexes</t>
  </si>
  <si>
    <t xml:space="preserve">Potion de réflexes</t>
  </si>
  <si>
    <t xml:space="preserve">analeptic (level 3–4)</t>
  </si>
  <si>
    <t xml:space="preserve">Analeptique (niveau 3-4)</t>
  </si>
  <si>
    <t xml:space="preserve">1d6 + 2</t>
  </si>
  <si>
    <t xml:space="preserve">Restaure un nombre de points égal au niveau du cypher dans la Réserve de Célérité de l'utilisateur.</t>
  </si>
  <si>
    <t xml:space="preserve">potion of greater soothed reflexes</t>
  </si>
  <si>
    <t xml:space="preserve">Potion de réflexes améliorée</t>
  </si>
  <si>
    <t xml:space="preserve">analeptic (level 5–6)</t>
  </si>
  <si>
    <t xml:space="preserve">Analeptique (niveau 5-6)</t>
  </si>
  <si>
    <t xml:space="preserve">potion of superior soothed reflexes</t>
  </si>
  <si>
    <t xml:space="preserve">Potion de réflexes supérieure</t>
  </si>
  <si>
    <t xml:space="preserve">analeptic (level 7–8)</t>
  </si>
  <si>
    <t xml:space="preserve">Analeptique (niveau 7-8)</t>
  </si>
  <si>
    <t xml:space="preserve">potion of vitality</t>
  </si>
  <si>
    <t xml:space="preserve">Potion de vitalité</t>
  </si>
  <si>
    <t xml:space="preserve">antivenom</t>
  </si>
  <si>
    <t xml:space="preserve">oil of armor enhancement</t>
  </si>
  <si>
    <t xml:space="preserve">Huile d’amélioration d’armure</t>
  </si>
  <si>
    <t xml:space="preserve">armor reinforcer</t>
  </si>
  <si>
    <t xml:space="preserve">scroll of stealing</t>
  </si>
  <si>
    <t xml:space="preserve">Parchemin de larcin</t>
  </si>
  <si>
    <t xml:space="preserve">attractor</t>
  </si>
  <si>
    <t xml:space="preserve">oil of aggressive blinking</t>
  </si>
  <si>
    <t xml:space="preserve">Huile de clignotement agressif</t>
  </si>
  <si>
    <t xml:space="preserve">banishing</t>
  </si>
  <si>
    <t xml:space="preserve">carved bone of utility</t>
  </si>
  <si>
    <t xml:space="preserve">Os sculpté d’utilité</t>
  </si>
  <si>
    <t xml:space="preserve">best tool</t>
  </si>
  <si>
    <t xml:space="preserve">scroll of nondetection</t>
  </si>
  <si>
    <t xml:space="preserve">Parchemin de non-détection</t>
  </si>
  <si>
    <t xml:space="preserve">blackout</t>
  </si>
  <si>
    <t xml:space="preserve">oil of defensive blinking</t>
  </si>
  <si>
    <t xml:space="preserve">Huile de clignotement défensif</t>
  </si>
  <si>
    <t xml:space="preserve">blinking</t>
  </si>
  <si>
    <t xml:space="preserve">385</t>
  </si>
  <si>
    <t xml:space="preserve">potion of longstrider</t>
  </si>
  <si>
    <t xml:space="preserve">Potion de grand-pas</t>
  </si>
  <si>
    <t xml:space="preserve">burst of speed</t>
  </si>
  <si>
    <t xml:space="preserve">potion of cure disease</t>
  </si>
  <si>
    <t xml:space="preserve">Potion de guérison des maladies</t>
  </si>
  <si>
    <t xml:space="preserve">catholicon</t>
  </si>
  <si>
    <t xml:space="preserve">potion of magical sorrows</t>
  </si>
  <si>
    <t xml:space="preserve">Potion des sanglots magiques</t>
  </si>
  <si>
    <t xml:space="preserve">chemical factory</t>
  </si>
  <si>
    <t xml:space="preserve">scroll of message</t>
  </si>
  <si>
    <t xml:space="preserve">Parchemin de message</t>
  </si>
  <si>
    <r>
      <rPr>
        <sz val="11"/>
        <color theme="1"/>
        <rFont val="Calibri"/>
        <family val="2"/>
      </rPr>
      <t xml:space="preserve">Psychic </t>
    </r>
    <r>
      <rPr>
        <sz val="11"/>
        <color theme="1"/>
        <rFont val="Calibri"/>
        <family val="2"/>
        <charset val="1"/>
      </rPr>
      <t xml:space="preserve">communique</t>
    </r>
  </si>
  <si>
    <t xml:space="preserve">395</t>
  </si>
  <si>
    <t xml:space="preserve">potion of language comprehension</t>
  </si>
  <si>
    <t xml:space="preserve">Potion de compréhension des langues</t>
  </si>
  <si>
    <t xml:space="preserve">comprehension</t>
  </si>
  <si>
    <t xml:space="preserve">potion of remedy</t>
  </si>
  <si>
    <t xml:space="preserve">Potion de remède</t>
  </si>
  <si>
    <t xml:space="preserve">condition remover</t>
  </si>
  <si>
    <t xml:space="preserve">candle of contingent activation</t>
  </si>
  <si>
    <t xml:space="preserve">Bougie d’activation de contingence</t>
  </si>
  <si>
    <t xml:space="preserve">contingent activator</t>
  </si>
  <si>
    <t xml:space="preserve">386</t>
  </si>
  <si>
    <t xml:space="preserve">oil of controlled blinking</t>
  </si>
  <si>
    <t xml:space="preserve">Huile de clignotement contrôlé</t>
  </si>
  <si>
    <t xml:space="preserve">controlled blinking</t>
  </si>
  <si>
    <t xml:space="preserve">potion of healing</t>
  </si>
  <si>
    <t xml:space="preserve">Potion de soin</t>
  </si>
  <si>
    <t xml:space="preserve">curative (level 3–4)</t>
  </si>
  <si>
    <t xml:space="preserve">Curatif (niveau 3-4)</t>
  </si>
  <si>
    <t xml:space="preserve">Restaure un nombre de points égal au niveau du cypher dans la Réserve de Puissance de l'utilisateur.</t>
  </si>
  <si>
    <t xml:space="preserve">potion of greater healing</t>
  </si>
  <si>
    <t xml:space="preserve">Potion de soin améliorée</t>
  </si>
  <si>
    <t xml:space="preserve">curative (level 5–6)</t>
  </si>
  <si>
    <t xml:space="preserve">Curatif (niveau 5-6)</t>
  </si>
  <si>
    <t xml:space="preserve">potion of superior healing</t>
  </si>
  <si>
    <t xml:space="preserve">Potion de soin supérieure</t>
  </si>
  <si>
    <t xml:space="preserve">curative (level 7–8)</t>
  </si>
  <si>
    <t xml:space="preserve">Curatif (niveau 7-8)</t>
  </si>
  <si>
    <t xml:space="preserve">scroll of the unexpected curse</t>
  </si>
  <si>
    <t xml:space="preserve">Parchemin de maladie</t>
  </si>
  <si>
    <t xml:space="preserve">curse bringer</t>
  </si>
  <si>
    <t xml:space="preserve">potion of darksight</t>
  </si>
  <si>
    <t xml:space="preserve">Potion de vision nocturne</t>
  </si>
  <si>
    <t xml:space="preserve">darksight</t>
  </si>
  <si>
    <t xml:space="preserve">death bringer rune</t>
  </si>
  <si>
    <t xml:space="preserve">Rune de mort</t>
  </si>
  <si>
    <t xml:space="preserve">death bringer</t>
  </si>
  <si>
    <t xml:space="preserve">oil of dense strikes</t>
  </si>
  <si>
    <t xml:space="preserve">Huile de frappe forte</t>
  </si>
  <si>
    <t xml:space="preserve">density</t>
  </si>
  <si>
    <t xml:space="preserve">scroll of fleshbane burst</t>
  </si>
  <si>
    <t xml:space="preserve">Parchemin d’explosion nécrotique</t>
  </si>
  <si>
    <t xml:space="preserve">detonation (cell-disrupting)</t>
  </si>
  <si>
    <t xml:space="preserve">Détonation (nécrose des chairs)</t>
  </si>
  <si>
    <t xml:space="preserve">Projette un petit explosif physique jusqu'à longue distance qui explose dans un rayon immédiat, infligeant des dégâts égaux au niveau du cypher. </t>
  </si>
  <si>
    <t xml:space="preserve">scroll of frost burst</t>
  </si>
  <si>
    <t xml:space="preserve">Parchemin d’explosion de froid</t>
  </si>
  <si>
    <t xml:space="preserve">detonation (cold)</t>
  </si>
  <si>
    <t xml:space="preserve">Détonation (froid)</t>
  </si>
  <si>
    <t xml:space="preserve">scroll of acid burst</t>
  </si>
  <si>
    <t xml:space="preserve">Parchemin d’explosion d’acide</t>
  </si>
  <si>
    <t xml:space="preserve">detonation (corrosive)</t>
  </si>
  <si>
    <t xml:space="preserve">Détonation (Corrosif)</t>
  </si>
  <si>
    <t xml:space="preserve">gem of monster summoning</t>
  </si>
  <si>
    <t xml:space="preserve">Gemme d’invocation de monstre</t>
  </si>
  <si>
    <t xml:space="preserve">detonation (creature)</t>
  </si>
  <si>
    <t xml:space="preserve">scroll of withering burst</t>
  </si>
  <si>
    <t xml:space="preserve">Parchemin d’explosion desséchante</t>
  </si>
  <si>
    <t xml:space="preserve">detonation (desiccating)</t>
  </si>
  <si>
    <t xml:space="preserve">scroll of lightning burst</t>
  </si>
  <si>
    <t xml:space="preserve">Parchemin d’explosion électrique</t>
  </si>
  <si>
    <t xml:space="preserve">detonation (electrical discharge)</t>
  </si>
  <si>
    <t xml:space="preserve">Détonation (électrique)</t>
  </si>
  <si>
    <t xml:space="preserve">scroll of flame burst</t>
  </si>
  <si>
    <t xml:space="preserve">Parchemin d’explosion de feu</t>
  </si>
  <si>
    <t xml:space="preserve">detonation (fire)</t>
  </si>
  <si>
    <t xml:space="preserve">Détonation (feu)</t>
  </si>
  <si>
    <t xml:space="preserve">Projette un petit explosif physique jusqu'à longue distance qui explose dans un rayon immédiat, infligeant des dégâts de feu égaux au niveau du cypher. </t>
  </si>
  <si>
    <t xml:space="preserve">scroll of blindness</t>
  </si>
  <si>
    <t xml:space="preserve">Parchemin de cécité</t>
  </si>
  <si>
    <t xml:space="preserve">detonation (flash)</t>
  </si>
  <si>
    <t xml:space="preserve">scroll of reverse gravity</t>
  </si>
  <si>
    <t xml:space="preserve">Parchemin d’inversion de la gravité</t>
  </si>
  <si>
    <t xml:space="preserve">detonation (gravity inversion)</t>
  </si>
  <si>
    <t xml:space="preserve">387</t>
  </si>
  <si>
    <t xml:space="preserve">scroll of invisible weights</t>
  </si>
  <si>
    <t xml:space="preserve">Parchemin des poids invisibles</t>
  </si>
  <si>
    <t xml:space="preserve">detonation (gravity)</t>
  </si>
  <si>
    <t xml:space="preserve">scroll of enlarged fleshbane burst</t>
  </si>
  <si>
    <t xml:space="preserve">Parchemin d’explosion nécrotique étendue</t>
  </si>
  <si>
    <t xml:space="preserve">detonation (massive,cell-disrupting)</t>
  </si>
  <si>
    <t xml:space="preserve">Détonation (Massive, nécrose des chairs)</t>
  </si>
  <si>
    <t xml:space="preserve">Projette un petit explosif physique jusqu'à  longue distance qui explose dans un rayon de courte portée, infligeant des dégâts de nécrose des chairs égaux au niveau du cypher.</t>
  </si>
  <si>
    <t xml:space="preserve">scroll of enlarged frost burst</t>
  </si>
  <si>
    <r>
      <rPr>
        <sz val="11"/>
        <color theme="1"/>
        <rFont val="Calibri"/>
        <family val="2"/>
        <charset val="1"/>
      </rPr>
      <t xml:space="preserve">Parchemin d’explosion de froid</t>
    </r>
    <r>
      <rPr>
        <sz val="11"/>
        <color theme="1"/>
        <rFont val="Calibri"/>
        <family val="2"/>
      </rPr>
      <t xml:space="preserve"> étendue</t>
    </r>
  </si>
  <si>
    <t xml:space="preserve">detonation (massive,cold)</t>
  </si>
  <si>
    <t xml:space="preserve">Détonation (Massive, froid)</t>
  </si>
  <si>
    <t xml:space="preserve">Projette un petit explosif physique jusqu'à  longue distance qui explose dans un rayon de courte portée, infligeant des dégâts de froid égaux au niveau du cypher.</t>
  </si>
  <si>
    <t xml:space="preserve">scroll of enlarged acid burst</t>
  </si>
  <si>
    <r>
      <rPr>
        <sz val="11"/>
        <color theme="1"/>
        <rFont val="Calibri"/>
        <family val="2"/>
        <charset val="1"/>
      </rPr>
      <t xml:space="preserve">Parchemin d’explosion d’acide</t>
    </r>
    <r>
      <rPr>
        <sz val="11"/>
        <color theme="1"/>
        <rFont val="Calibri"/>
        <family val="2"/>
      </rPr>
      <t xml:space="preserve"> étendue</t>
    </r>
  </si>
  <si>
    <t xml:space="preserve">detonation (massive,corrosive)</t>
  </si>
  <si>
    <t xml:space="preserve">Détonation (Massive, corrosif)</t>
  </si>
  <si>
    <t xml:space="preserve">Projette un petit explosif physique jusqu'à longue distance qui explose dans un rayon immédiat, infligeant des dégâts corrosifs égaux au niveau du cypher. </t>
  </si>
  <si>
    <t xml:space="preserve">scroll of enlarged lightning burst</t>
  </si>
  <si>
    <r>
      <rPr>
        <sz val="11"/>
        <color theme="1"/>
        <rFont val="Calibri"/>
        <family val="2"/>
        <charset val="1"/>
      </rPr>
      <t xml:space="preserve">Parchemin d’explosion électrique</t>
    </r>
    <r>
      <rPr>
        <sz val="11"/>
        <color theme="1"/>
        <rFont val="Calibri"/>
        <family val="2"/>
      </rPr>
      <t xml:space="preserve"> étendue</t>
    </r>
  </si>
  <si>
    <t xml:space="preserve">detonation (massive,electrical discharge)</t>
  </si>
  <si>
    <t xml:space="preserve">Détonation (Massive, électrique)</t>
  </si>
  <si>
    <t xml:space="preserve">Projette un petit explosif physique jusqu'à  longue distance qui explose dans un rayon de courte portée, infligeant des dégâts électriques égaux au niveau du cypher.</t>
  </si>
  <si>
    <t xml:space="preserve">scroll of enlarged flame burst</t>
  </si>
  <si>
    <r>
      <rPr>
        <sz val="11"/>
        <color theme="1"/>
        <rFont val="Calibri"/>
        <family val="2"/>
        <charset val="1"/>
      </rPr>
      <t xml:space="preserve">Parchemin d’explosion de feu</t>
    </r>
    <r>
      <rPr>
        <sz val="11"/>
        <color theme="1"/>
        <rFont val="Calibri"/>
        <family val="2"/>
      </rPr>
      <t xml:space="preserve"> étendue</t>
    </r>
  </si>
  <si>
    <t xml:space="preserve">detonation (massive,fire)</t>
  </si>
  <si>
    <t xml:space="preserve">Détonation (Massive, feu)</t>
  </si>
  <si>
    <t xml:space="preserve">Projette un petit explosif physique jusqu'à  longue distance qui explose dans un rayon de courte portée, infligeant des dégâts de feu égaux au niveau du cypher.</t>
  </si>
  <si>
    <t xml:space="preserve">scroll of enlarged dagger burst</t>
  </si>
  <si>
    <r>
      <rPr>
        <sz val="11"/>
        <color theme="1"/>
        <rFont val="Calibri"/>
        <family val="2"/>
        <charset val="1"/>
      </rPr>
      <t xml:space="preserve">Parchemin d’explosion de dagues</t>
    </r>
    <r>
      <rPr>
        <sz val="11"/>
        <color theme="1"/>
        <rFont val="Calibri"/>
        <family val="2"/>
      </rPr>
      <t xml:space="preserve"> étendue</t>
    </r>
  </si>
  <si>
    <t xml:space="preserve">detonation (massive,shrapnel)</t>
  </si>
  <si>
    <t xml:space="preserve">Détonation (Massive, éclats)</t>
  </si>
  <si>
    <t xml:space="preserve">Projette un petit explosif physique jusqu'à  longue distance qui explose dans un rayon de courte portée, infligeant des dégâts coupants égaux au niveau du cypher.</t>
  </si>
  <si>
    <t xml:space="preserve">scroll of chaos burst</t>
  </si>
  <si>
    <t xml:space="preserve">Parchemin d’explosion de chaos</t>
  </si>
  <si>
    <t xml:space="preserve">detonation (matter disruption)</t>
  </si>
  <si>
    <t xml:space="preserve">scroll of hammer burst</t>
  </si>
  <si>
    <t xml:space="preserve">Parchemin d’explosion de marteaux</t>
  </si>
  <si>
    <t xml:space="preserve">detonation (pressure)</t>
  </si>
  <si>
    <t xml:space="preserve">scroll of dagger burst</t>
  </si>
  <si>
    <t xml:space="preserve">Parchemin d’explosion de dagues étendue</t>
  </si>
  <si>
    <t xml:space="preserve">detonation (shrapnel)</t>
  </si>
  <si>
    <t xml:space="preserve">Détonation (éclats)</t>
  </si>
  <si>
    <t xml:space="preserve">scroll of annihilation</t>
  </si>
  <si>
    <t xml:space="preserve">detonation (singularity)</t>
  </si>
  <si>
    <t xml:space="preserve">scroll of deafness</t>
  </si>
  <si>
    <t xml:space="preserve">detonation (sonic)</t>
  </si>
  <si>
    <t xml:space="preserve">scroll of chain fleshbane burst</t>
  </si>
  <si>
    <t xml:space="preserve">Parchemin d’explosions en chaîne nécrotique</t>
  </si>
  <si>
    <t xml:space="preserve">detonation (spawn,cell-disrupting)</t>
  </si>
  <si>
    <t xml:space="preserve">Détonation (Prolifération, nécrose des chairs)</t>
  </si>
  <si>
    <t xml:space="preserve">Projette un petit explosif physique jusqu'à  longue distance qui éclate dans un rayon immédiat, aveuglant tous ceux qui s'y trouvent pendant une minute et infligeant des dégâts de nécrose des chairs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</si>
  <si>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chain frost burst</t>
  </si>
  <si>
    <t xml:space="preserve">Parchemin d’explosions en chaîne de froid</t>
  </si>
  <si>
    <t xml:space="preserve">detonation (spawn,cold)</t>
  </si>
  <si>
    <t xml:space="preserve">Détonation (Prolifération, froid)</t>
  </si>
  <si>
    <t xml:space="preserve">Projette un petit explosif physique jusqu'à  longue distance qui éclate dans un rayon immédiat, aveuglant tous ceux qui s'y trouvent pendant une minute et infligeant des dégâts de froid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</si>
  <si>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chain acid burst</t>
  </si>
  <si>
    <t xml:space="preserve">Parchemin d’explosions en chaîne d’acide</t>
  </si>
  <si>
    <t xml:space="preserve">detonation (spawn,corrosive)</t>
  </si>
  <si>
    <t xml:space="preserve">Détonation (Prolifération, Corrosif)</t>
  </si>
  <si>
    <t xml:space="preserve">Projette un petit explosif physique jusqu'à  longue distance qui éclate dans un rayon immédiat, aveuglant tous ceux qui s'y trouvent pendant une minute et infligeant des dégâts corrosifs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</si>
  <si>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chain lightning burst</t>
  </si>
  <si>
    <t xml:space="preserve">Parchemin d’explosions en chaîne électrique</t>
  </si>
  <si>
    <t xml:space="preserve">detonation (spawn,electrical discharge)</t>
  </si>
  <si>
    <t xml:space="preserve">Détonation (Prolifération, électrique)</t>
  </si>
  <si>
    <t xml:space="preserve">Projette un petit explosif physique jusqu'à  longue distance qui éclate dans un rayon immédiat, aveuglant tous ceux qui s'y trouvent pendant une minute et infligeant des dégâts électriques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</si>
  <si>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chain flame burst</t>
  </si>
  <si>
    <t xml:space="preserve">Parchemin d’explosions en chaîne de feu</t>
  </si>
  <si>
    <t xml:space="preserve">detonation (spawn,fire)</t>
  </si>
  <si>
    <t xml:space="preserve">Détonation (Prolifération, feu)</t>
  </si>
  <si>
    <t xml:space="preserve">Projette un petit explosif physique jusqu'à  longue distance qui éclate dans un rayon immédiat, aveuglant tous ceux qui s'y trouvent pendant une minute et infligeant des dégâts de feu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</si>
  <si>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chain dagger burst</t>
  </si>
  <si>
    <t xml:space="preserve">Parchemin d’explosions en chaîne de dagues</t>
  </si>
  <si>
    <t xml:space="preserve">detonation (spawn,shrapnel)</t>
  </si>
  <si>
    <t xml:space="preserve">Détonation (Prolifération, éclats)</t>
  </si>
  <si>
    <t xml:space="preserve">Projette un petit explosif physique jusqu'à  longue distance qui éclate dans un rayon immédiat, aveuglant tous ceux qui s'y trouvent pendant une minute et infligeant des dégâts coupants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</si>
  <si>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scroll of web</t>
  </si>
  <si>
    <t xml:space="preserve">Parchemin de toile d’araignée</t>
  </si>
  <si>
    <t xml:space="preserve">detonation (web)</t>
  </si>
  <si>
    <t xml:space="preserve">rune of disarming</t>
  </si>
  <si>
    <t xml:space="preserve">disarm</t>
  </si>
  <si>
    <t xml:space="preserve">potion of disguise</t>
  </si>
  <si>
    <t xml:space="preserve">disguise module</t>
  </si>
  <si>
    <t xml:space="preserve">388</t>
  </si>
  <si>
    <t xml:space="preserve">oil of fleshbane</t>
  </si>
  <si>
    <t xml:space="preserve">disrupting</t>
  </si>
  <si>
    <t xml:space="preserve">potion of eagle eye</t>
  </si>
  <si>
    <t xml:space="preserve">eagleseye</t>
  </si>
  <si>
    <t xml:space="preserve">potion of energy resistance</t>
  </si>
  <si>
    <t xml:space="preserve">effect resistance</t>
  </si>
  <si>
    <t xml:space="preserve">potion of enhancement</t>
  </si>
  <si>
    <t xml:space="preserve">effort enhancer (combat)</t>
  </si>
  <si>
    <t xml:space="preserve">potion of peaceful enhancement</t>
  </si>
  <si>
    <t xml:space="preserve">effort enhancer (noncombat)</t>
  </si>
  <si>
    <t xml:space="preserve">potion of shield</t>
  </si>
  <si>
    <t xml:space="preserve">enduring shield</t>
  </si>
  <si>
    <t xml:space="preserve">marvelous painting kit</t>
  </si>
  <si>
    <t xml:space="preserve">equipment cache</t>
  </si>
  <si>
    <t xml:space="preserve">scroll of scrying</t>
  </si>
  <si>
    <t xml:space="preserve">farsight</t>
  </si>
  <si>
    <t xml:space="preserve">oil of fireproofing</t>
  </si>
  <si>
    <t xml:space="preserve">fireproofing</t>
  </si>
  <si>
    <t xml:space="preserve">scroll of flame extinguishing</t>
  </si>
  <si>
    <t xml:space="preserve">flame-retardant wall</t>
  </si>
  <si>
    <t xml:space="preserve">scroll of cube of force</t>
  </si>
  <si>
    <t xml:space="preserve">force cube</t>
  </si>
  <si>
    <t xml:space="preserve">potion of greater shield</t>
  </si>
  <si>
    <t xml:space="preserve">force field</t>
  </si>
  <si>
    <t xml:space="preserve">389</t>
  </si>
  <si>
    <t xml:space="preserve">scroll of force wall</t>
  </si>
  <si>
    <t xml:space="preserve">force screen projector</t>
  </si>
  <si>
    <t xml:space="preserve">potion of superior shield</t>
  </si>
  <si>
    <t xml:space="preserve">force shield projector</t>
  </si>
  <si>
    <t xml:space="preserve">oil of slipperiness</t>
  </si>
  <si>
    <t xml:space="preserve">friction reducer</t>
  </si>
  <si>
    <t xml:space="preserve">scroll of winter wall</t>
  </si>
  <si>
    <t xml:space="preserve">frigid wall</t>
  </si>
  <si>
    <t xml:space="preserve">scroll of the amnesiac cloud</t>
  </si>
  <si>
    <t xml:space="preserve">gas bomb (amnesia gas)</t>
  </si>
  <si>
    <t xml:space="preserve">Bombe à Gaz (Gaz d'amnésie)</t>
  </si>
  <si>
    <t xml:space="preserve">Lancée à courte distance, elle explose en un nuage empoisonné couvrant une zone immédiate. Le nuage persiste pendant 1d6 rounds, sauf si les conditions l'indiquent autrement. Gaz d'amnésie : les créatures vivantes qui respirent et pensent perdent définitivement toute mémoire de la dernière minute.</t>
  </si>
  <si>
    <t xml:space="preserve">dust of choking</t>
  </si>
  <si>
    <t xml:space="preserve">gas bomb (choking gas)</t>
  </si>
  <si>
    <t xml:space="preserve">Bombe à Gaz (Gaz d'étouffement)</t>
  </si>
  <si>
    <t xml:space="preserve">Lancée à courte distance, elle explose en un nuage empoisonné couvrant une zone immédiate. Le nuage persiste pendant 1d6 rounds, sauf si les conditions l'indiquent autrement.  Gaz d'étouffement : les créatures vivantes qui respirent perdent leurs actions à cause de l'étouffement et de la toux pendant un nombre de rounds égal au niveau du cypher.</t>
  </si>
  <si>
    <t xml:space="preserve">scroll of acid cloud</t>
  </si>
  <si>
    <t xml:space="preserve">gas bomb (corrosive gas)</t>
  </si>
  <si>
    <t xml:space="preserve">Bombe à Gaz (Gaz corrosif)</t>
  </si>
  <si>
    <t xml:space="preserve">Lancée à courte distance, elle explose en un nuage empoisonné couvrant une zone immédiate. Le nuage persiste pendant 1d6 rounds, sauf si les conditions l'indiquent autrement.  Gaz corrosif : tout subit des dégâts égaux au niveau du cypher.</t>
  </si>
  <si>
    <t xml:space="preserve">scroll of fear gas</t>
  </si>
  <si>
    <t xml:space="preserve">gas bomb (fear gas)</t>
  </si>
  <si>
    <t xml:space="preserve">Bombe à Gaz (Gaz de peur)</t>
  </si>
  <si>
    <t xml:space="preserve">Lancée à courte distance, elle explose en un nuage empoisonné couvrant une zone immédiate. Le nuage persiste pendant 1d6 rounds, sauf si les conditions l'indiquent autrement. Gaz de peur : les créatures vivantes qui respirent et pensent fuient dans une direction aléatoire de peur (ou sont paralysées par la peur) pendant un nombre de rounds égal au niveau du cypher.</t>
  </si>
  <si>
    <t xml:space="preserve">scroll of dream vapors</t>
  </si>
  <si>
    <t xml:space="preserve">gas bomb (hallucinogenic gas)</t>
  </si>
  <si>
    <t xml:space="preserve">Bombe à Gaz (Gaz hallucinogène)</t>
  </si>
  <si>
    <t xml:space="preserve">Lancée à courte distance, elle explose en un nuage empoisonné couvrant une zone immédiate. Le nuage persiste pendant 1d6 rounds, sauf si les conditions l'indiquent autrement. 	Gaz hallucinogène : les créatures vivantes qui respirent perdent leurs actions à cause des hallucinations et visions pendant un nombre de rounds égal au niveau du cypher.</t>
  </si>
  <si>
    <t xml:space="preserve">scroll of mindbane vapors</t>
  </si>
  <si>
    <t xml:space="preserve">gas bomb (mind-numbing gas)</t>
  </si>
  <si>
    <t xml:space="preserve">Bombe à Gaz (	Gaz débilitant)</t>
  </si>
  <si>
    <t xml:space="preserve">Lancée à courte distance, elle explose en un nuage empoisonné couvrant une zone immédiate. Le nuage persiste pendant 1d6 rounds, sauf si les conditions l'indiquent autrement. 	Gaz débilitant : les créatures vivantes qui respirent subissent des dégâts en Intellect égaux au niveau du cypher.</t>
  </si>
  <si>
    <t xml:space="preserve">scroll of numbing vapors</t>
  </si>
  <si>
    <t xml:space="preserve">gas bomb (nerve gas)</t>
  </si>
  <si>
    <t xml:space="preserve">Bombe à Gaz (	Gaz neurotoxique)</t>
  </si>
  <si>
    <t xml:space="preserve">Lancée à courte distance, elle explose en un nuage empoisonné couvrant une zone immédiate. Le nuage persiste pendant 1d6 rounds, sauf si les conditions l'indiquent autrement. 	Gaz neurotoxique : les créatures vivantes qui respirent subissent des dégâts en Célérité égaux au niveau du cypher.</t>
  </si>
  <si>
    <t xml:space="preserve">scroll of poisonous cloud</t>
  </si>
  <si>
    <t xml:space="preserve">gas bomb (poison gas)</t>
  </si>
  <si>
    <t xml:space="preserve">Bombe à Gaz (Gaz empoisonné)</t>
  </si>
  <si>
    <t xml:space="preserve">Lancée à courte distance, elle explose en un nuage empoisonné couvrant une zone immédiate. Le nuage persiste pendant 1d6 rounds, sauf si les conditions l'indiquent autrement. Gaz empoisonné : les créatures vivantes qui respirent subissent des dégâts égaux au niveau du cypher.</t>
  </si>
  <si>
    <t xml:space="preserve">scroll of berserk vapors</t>
  </si>
  <si>
    <t xml:space="preserve">gas bomb (rage gas)</t>
  </si>
  <si>
    <t xml:space="preserve">Bombe à Gaz (Gaz de rage)</t>
  </si>
  <si>
    <t xml:space="preserve">Lancée à courte distance, elle explose en un nuage empoisonné couvrant une zone immédiate. Le nuage persiste pendant 1d6 rounds, sauf si les conditions l'indiquent autrement. 	Gaz de rage : les créatures vivantes qui respirent et pensent attaquent au corps à corps la créature la plus proche et continuent à le faire pendant un nombre de rounds égal au niveau du cypher.</t>
  </si>
  <si>
    <t xml:space="preserve">scroll of sleep gas</t>
  </si>
  <si>
    <t xml:space="preserve">gas bomb (sleep gas)</t>
  </si>
  <si>
    <t xml:space="preserve">Bombe à Gaz (Gaz soporifique)</t>
  </si>
  <si>
    <t xml:space="preserve">Lancée à courte distance, elle explose en un nuage empoisonné couvrant une zone immédiate. Le nuage persiste pendant 1d6 rounds, sauf si les conditions l'indiquent autrement. Gaz soporifique : les créatures vivantes qui respirent s'endorment pendant un nombre de rounds égal au niveau du cypher ou jusqu'à ce qu'elles soient réveillées par une action violente ou un bruit extrêmement fort.</t>
  </si>
  <si>
    <t xml:space="preserve">scroll of smoke burst</t>
  </si>
  <si>
    <t xml:space="preserve">gas bomb (thick smoke)</t>
  </si>
  <si>
    <t xml:space="preserve">Bombe à Gaz (Fumée épaisse)</t>
  </si>
  <si>
    <t xml:space="preserve">Lancée à courte distance, elle explose en un nuage empoisonné couvrant une zone immédiate. Le nuage persiste pendant 1d6 rounds, sauf si les conditions l'indiquent autrement. Fumée épaisse : occulte la vue tant que le nuage persiste</t>
  </si>
  <si>
    <t xml:space="preserve">potion of levitation</t>
  </si>
  <si>
    <t xml:space="preserve">gravity nullifier</t>
  </si>
  <si>
    <t xml:space="preserve">390</t>
  </si>
  <si>
    <t xml:space="preserve">oil of hovering</t>
  </si>
  <si>
    <t xml:space="preserve">gravity-nullifying application</t>
  </si>
  <si>
    <t xml:space="preserve">oil of flame burst</t>
  </si>
  <si>
    <t xml:space="preserve">heat attack</t>
  </si>
  <si>
    <t xml:space="preserve">tenacious dart</t>
  </si>
  <si>
    <t xml:space="preserve">hunter/seeker</t>
  </si>
  <si>
    <t xml:space="preserve">crystal of strange illusions</t>
  </si>
  <si>
    <t xml:space="preserve">image projector</t>
  </si>
  <si>
    <t xml:space="preserve">scroll of fiery wall</t>
  </si>
  <si>
    <t xml:space="preserve">inferno wall</t>
  </si>
  <si>
    <t xml:space="preserve">idol of the housefly spy</t>
  </si>
  <si>
    <t xml:space="preserve">infiltrator</t>
  </si>
  <si>
    <t xml:space="preserve">Infiltrateur</t>
  </si>
  <si>
    <t xml:space="preserve">potion of snooping</t>
  </si>
  <si>
    <t xml:space="preserve">information sensor</t>
  </si>
  <si>
    <t xml:space="preserve">391</t>
  </si>
  <si>
    <t xml:space="preserve">rune of the servant golem</t>
  </si>
  <si>
    <t xml:space="preserve">instant servant</t>
  </si>
  <si>
    <t xml:space="preserve">scroll of secure shelter</t>
  </si>
  <si>
    <t xml:space="preserve">instant shelter</t>
  </si>
  <si>
    <t xml:space="preserve">potion of mental clarity</t>
  </si>
  <si>
    <t xml:space="preserve">Intellect booster</t>
  </si>
  <si>
    <t xml:space="preserve">potion of sagacious deduction</t>
  </si>
  <si>
    <t xml:space="preserve">intelligence enhancement</t>
  </si>
  <si>
    <t xml:space="preserve">potion of enhanced skill</t>
  </si>
  <si>
    <t xml:space="preserve">knowledge enhancement</t>
  </si>
  <si>
    <t xml:space="preserve">scroll of lightning wall</t>
  </si>
  <si>
    <t xml:space="preserve">lightning wall</t>
  </si>
  <si>
    <t xml:space="preserve">scroll of golem control</t>
  </si>
  <si>
    <t xml:space="preserve">machine control</t>
  </si>
  <si>
    <t xml:space="preserve">392</t>
  </si>
  <si>
    <t xml:space="preserve">metal-seeking dart</t>
  </si>
  <si>
    <t xml:space="preserve">magnetic attack drill</t>
  </si>
  <si>
    <t xml:space="preserve">potion of metal telekinesis</t>
  </si>
  <si>
    <t xml:space="preserve">magnetic master</t>
  </si>
  <si>
    <t xml:space="preserve">potion of metal repulsion</t>
  </si>
  <si>
    <t xml:space="preserve">magnetic shield</t>
  </si>
  <si>
    <t xml:space="preserve">potion of mage hand</t>
  </si>
  <si>
    <t xml:space="preserve">manipulation beam</t>
  </si>
  <si>
    <t xml:space="preserve">scroll of object teleportation</t>
  </si>
  <si>
    <t xml:space="preserve">matter transference ray</t>
  </si>
  <si>
    <t xml:space="preserve">potion of meditation</t>
  </si>
  <si>
    <t xml:space="preserve">meditation aid (level 3–4)</t>
  </si>
  <si>
    <t xml:space="preserve">Aide à  la Méditation (niveau 3-4)</t>
  </si>
  <si>
    <t xml:space="preserve">Restaure un nombre de points égal au niveau du cypher à  la Réserve d'Intellect de l'utilisateur.</t>
  </si>
  <si>
    <t xml:space="preserve">potion of greater meditation</t>
  </si>
  <si>
    <t xml:space="preserve">meditation aid (level 5–6)</t>
  </si>
  <si>
    <t xml:space="preserve">Aide à  la Méditation (niveau 5-6)</t>
  </si>
  <si>
    <t xml:space="preserve">potion of superior meditation</t>
  </si>
  <si>
    <t xml:space="preserve">meditation aid (level 7–8)</t>
  </si>
  <si>
    <t xml:space="preserve">Aide à  la Méditation (niveau 7-8)</t>
  </si>
  <si>
    <t xml:space="preserve">scroll of memory burst</t>
  </si>
  <si>
    <t xml:space="preserve">memory switch</t>
  </si>
  <si>
    <t xml:space="preserve">idol of chaotic thoughts</t>
  </si>
  <si>
    <t xml:space="preserve">mental scrambler</t>
  </si>
  <si>
    <t xml:space="preserve">oil of grey ooze</t>
  </si>
  <si>
    <t xml:space="preserve">metal death</t>
  </si>
  <si>
    <t xml:space="preserve">393</t>
  </si>
  <si>
    <t xml:space="preserve">potion of telepathy</t>
  </si>
  <si>
    <t xml:space="preserve">mind meld</t>
  </si>
  <si>
    <t xml:space="preserve">potion of iron will</t>
  </si>
  <si>
    <t xml:space="preserve">mind stabilizer</t>
  </si>
  <si>
    <t xml:space="preserve">scroll of sleeping wall</t>
  </si>
  <si>
    <t xml:space="preserve">mind-restricting wall</t>
  </si>
  <si>
    <t xml:space="preserve">windslice dagger</t>
  </si>
  <si>
    <t xml:space="preserve">monoblade</t>
  </si>
  <si>
    <t xml:space="preserve">potion of the unicorn</t>
  </si>
  <si>
    <t xml:space="preserve">monohorn</t>
  </si>
  <si>
    <t xml:space="preserve">potion of alertness</t>
  </si>
  <si>
    <t xml:space="preserve">motion sensor</t>
  </si>
  <si>
    <t xml:space="preserve">scroll of protective aura</t>
  </si>
  <si>
    <t xml:space="preserve">null field</t>
  </si>
  <si>
    <t xml:space="preserve">scroll of dispel magic</t>
  </si>
  <si>
    <t xml:space="preserve">nullification ray</t>
  </si>
  <si>
    <t xml:space="preserve">potion of travel rations</t>
  </si>
  <si>
    <t xml:space="preserve">nutrition and hydration</t>
  </si>
  <si>
    <t xml:space="preserve">potion of memorization</t>
  </si>
  <si>
    <t xml:space="preserve">perfect memory</t>
  </si>
  <si>
    <t xml:space="preserve">potion of perfection</t>
  </si>
  <si>
    <t xml:space="preserve">perfection</t>
  </si>
  <si>
    <t xml:space="preserve">potion of comfort</t>
  </si>
  <si>
    <t xml:space="preserve">personal environment field</t>
  </si>
  <si>
    <t xml:space="preserve">394</t>
  </si>
  <si>
    <t xml:space="preserve">potion of ghostliness</t>
  </si>
  <si>
    <t xml:space="preserve">phase changer</t>
  </si>
  <si>
    <t xml:space="preserve">oil of ghost wall</t>
  </si>
  <si>
    <t xml:space="preserve">phase disruptor</t>
  </si>
  <si>
    <t xml:space="preserve">emotion poison</t>
  </si>
  <si>
    <t xml:space="preserve">poison (emotion)</t>
  </si>
  <si>
    <t xml:space="preserve">brain burst poison</t>
  </si>
  <si>
    <t xml:space="preserve">poison (explosive)</t>
  </si>
  <si>
    <t xml:space="preserve">compelling thought poison</t>
  </si>
  <si>
    <t xml:space="preserve">poison (mind controlling)</t>
  </si>
  <si>
    <t xml:space="preserve">mindbane poison</t>
  </si>
  <si>
    <t xml:space="preserve">poison (mind disrupting)</t>
  </si>
  <si>
    <t xml:space="preserve">crystal void dart</t>
  </si>
  <si>
    <t xml:space="preserve">radiation spike</t>
  </si>
  <si>
    <t xml:space="preserve">crystal fleshbane dart</t>
  </si>
  <si>
    <t xml:space="preserve">ray emitter (cell-disrupting)</t>
  </si>
  <si>
    <t xml:space="preserve">Emetteur de Rayon (Radiation perturbatrice cellulaire)</t>
  </si>
  <si>
    <t xml:space="preserve">Permet à l'utilisateur de projeter un rayon d'énergie destructrice jusqu'à très longue portée, infligeant des dégâts égaux au niveau du cypher. Radiation perturbatrice cellulaire</t>
  </si>
  <si>
    <t xml:space="preserve">crystal compulsion dart</t>
  </si>
  <si>
    <t xml:space="preserve">ray emitter (command)</t>
  </si>
  <si>
    <t xml:space="preserve">crystal frost dart</t>
  </si>
  <si>
    <t xml:space="preserve">ray emitter (concentrated cold)</t>
  </si>
  <si>
    <t xml:space="preserve">Emetteur de Rayon (	Froid concentré)</t>
  </si>
  <si>
    <t xml:space="preserve">Permet à l'utilisateur de projeter un rayon d'énergie destructrice jusqu'à très longue portée, infligeant des dégâts égaux au niveau du cypher.	Froid concentré</t>
  </si>
  <si>
    <t xml:space="preserve">crystal fear dart</t>
  </si>
  <si>
    <t xml:space="preserve">ray emitter (fear)</t>
  </si>
  <si>
    <t xml:space="preserve">crystal force dart</t>
  </si>
  <si>
    <t xml:space="preserve">ray emitter (force)</t>
  </si>
  <si>
    <t xml:space="preserve">Emetteur de Rayon (	Force)</t>
  </si>
  <si>
    <t xml:space="preserve">Permet à l'utilisateur de projeter un rayon d'énergie destructrice jusqu'à très longue portée, infligeant des dégâts égaux au niveau du cypher.	Force</t>
  </si>
  <si>
    <t xml:space="preserve">crystal turncoat dart</t>
  </si>
  <si>
    <t xml:space="preserve">ray emitter (friend slaying)</t>
  </si>
  <si>
    <t xml:space="preserve">crystal heat dart</t>
  </si>
  <si>
    <t xml:space="preserve">ray emitter (heat)</t>
  </si>
  <si>
    <t xml:space="preserve">Emetteur de Rayon (	Chaleur)</t>
  </si>
  <si>
    <t xml:space="preserve">Permet à l'utilisateur de projeter un rayon d'énergie destructrice jusqu'à très longue portée, infligeant des dégâts égaux au niveau du cypher.	Chaleur</t>
  </si>
  <si>
    <t xml:space="preserve">crystal magnet dart</t>
  </si>
  <si>
    <t xml:space="preserve">ray emitter (magnetic wave)</t>
  </si>
  <si>
    <t xml:space="preserve">Emetteur de Rayon (Onde magnétique)</t>
  </si>
  <si>
    <t xml:space="preserve">Permet à l'utilisateur de projeter un rayon d'énergie destructrice jusqu'à très longue portée, infligeant des dégâts égaux au niveau du cypher. Onde magnétique</t>
  </si>
  <si>
    <t xml:space="preserve">crystal mind blast dart</t>
  </si>
  <si>
    <t xml:space="preserve">ray emitter (mind disrupting)</t>
  </si>
  <si>
    <t xml:space="preserve">Emetteur de Rayon (Perturbe les pensées)</t>
  </si>
  <si>
    <t xml:space="preserve">Permet à l'utilisateur de projeter un rayon d'énergie destructrice jusqu'à très longue portée, infligeant des dégâts égaux au niveau du cypher. Perturbe les pensées</t>
  </si>
  <si>
    <t xml:space="preserve">crystal chaos dart</t>
  </si>
  <si>
    <t xml:space="preserve">ray emitter (molecular bond disruption)</t>
  </si>
  <si>
    <t xml:space="preserve">Emetteur de Rayon (Perturbation des liaisons moléculaires)</t>
  </si>
  <si>
    <t xml:space="preserve">Permet à l'utilisateur de projeter un rayon d'énergie destructrice jusqu'à très longue portée, infligeant des dégâts égaux au niveau du cypher. Perturbation des liaisons moléculaires.</t>
  </si>
  <si>
    <t xml:space="preserve">crystal numbing dart</t>
  </si>
  <si>
    <t xml:space="preserve">ray emitter (numbing)</t>
  </si>
  <si>
    <t xml:space="preserve">crystal paralysis dart</t>
  </si>
  <si>
    <t xml:space="preserve">ray emitter (paralysis)</t>
  </si>
  <si>
    <t xml:space="preserve">immovable rod</t>
  </si>
  <si>
    <t xml:space="preserve">reality spike</t>
  </si>
  <si>
    <t xml:space="preserve">potion of reflex enhancement</t>
  </si>
  <si>
    <t xml:space="preserve">reflex enhancer</t>
  </si>
  <si>
    <t xml:space="preserve">potion of rejuvenation</t>
  </si>
  <si>
    <t xml:space="preserve">rejuvenator (level 3–4)</t>
  </si>
  <si>
    <t xml:space="preserve">Régénérateur (niveau 3-4)</t>
  </si>
  <si>
    <t xml:space="preserve">Restaure un nombre de points égal au niveau du cypher à  une Réserve de stat aléatoire.</t>
  </si>
  <si>
    <t xml:space="preserve">potion of greater rejuvenation</t>
  </si>
  <si>
    <t xml:space="preserve">rejuvenator (level 5–6)</t>
  </si>
  <si>
    <t xml:space="preserve">Régénérateur (niveau 5-6)</t>
  </si>
  <si>
    <t xml:space="preserve">potion of superior rejuvenation</t>
  </si>
  <si>
    <t xml:space="preserve">rejuvenator (level 7–8)</t>
  </si>
  <si>
    <t xml:space="preserve">Régénérateur (niveau 7-8)</t>
  </si>
  <si>
    <t xml:space="preserve">potion of perfect recall</t>
  </si>
  <si>
    <t xml:space="preserve">remembering</t>
  </si>
  <si>
    <t xml:space="preserve">396</t>
  </si>
  <si>
    <t xml:space="preserve">demon eye crystal</t>
  </si>
  <si>
    <t xml:space="preserve">remote viewer</t>
  </si>
  <si>
    <t xml:space="preserve">rune of repairing</t>
  </si>
  <si>
    <t xml:space="preserve">repair unit</t>
  </si>
  <si>
    <t xml:space="preserve">oil of arrow volleys</t>
  </si>
  <si>
    <t xml:space="preserve">repeater</t>
  </si>
  <si>
    <t xml:space="preserve">scroll of repulsion</t>
  </si>
  <si>
    <t xml:space="preserve">repel</t>
  </si>
  <si>
    <t xml:space="preserve">potion of lightning shield</t>
  </si>
  <si>
    <t xml:space="preserve">retaliation</t>
  </si>
  <si>
    <t xml:space="preserve">potion of secret knowledge</t>
  </si>
  <si>
    <t xml:space="preserve">secret</t>
  </si>
  <si>
    <t xml:space="preserve">potion of golem flesh</t>
  </si>
  <si>
    <t xml:space="preserve">sheen</t>
  </si>
  <si>
    <t xml:space="preserve">oil of lightning burst</t>
  </si>
  <si>
    <t xml:space="preserve">shock attack</t>
  </si>
  <si>
    <t xml:space="preserve">lightning crystal</t>
  </si>
  <si>
    <t xml:space="preserve">shocker</t>
  </si>
  <si>
    <t xml:space="preserve">potion of perfected skill</t>
  </si>
  <si>
    <t xml:space="preserve">skill boost</t>
  </si>
  <si>
    <t xml:space="preserve">397</t>
  </si>
  <si>
    <t xml:space="preserve">scroll of domination</t>
  </si>
  <si>
    <t xml:space="preserve">slave maker</t>
  </si>
  <si>
    <t xml:space="preserve">scroll of sleep</t>
  </si>
  <si>
    <t xml:space="preserve">sleep inducer</t>
  </si>
  <si>
    <t xml:space="preserve">oil of far shots</t>
  </si>
  <si>
    <t xml:space="preserve">sniper module</t>
  </si>
  <si>
    <t xml:space="preserve">oil of pure chaos</t>
  </si>
  <si>
    <t xml:space="preserve">solvent</t>
  </si>
  <si>
    <t xml:space="preserve">scroll of silence</t>
  </si>
  <si>
    <t xml:space="preserve">sonic hole</t>
  </si>
  <si>
    <t xml:space="preserve">oil of silent stealth</t>
  </si>
  <si>
    <t xml:space="preserve">sound dampener</t>
  </si>
  <si>
    <t xml:space="preserve">oil of the portal lens</t>
  </si>
  <si>
    <t xml:space="preserve">spatial warp</t>
  </si>
  <si>
    <t xml:space="preserve">potion of agility</t>
  </si>
  <si>
    <t xml:space="preserve">speed boost</t>
  </si>
  <si>
    <t xml:space="preserve">398</t>
  </si>
  <si>
    <t xml:space="preserve">idol of the wasp spy</t>
  </si>
  <si>
    <t xml:space="preserve">spy</t>
  </si>
  <si>
    <t xml:space="preserve">potion of timeless sleep</t>
  </si>
  <si>
    <t xml:space="preserve">stasis keeper</t>
  </si>
  <si>
    <t xml:space="preserve">potion of luck</t>
  </si>
  <si>
    <t xml:space="preserve">stim</t>
  </si>
  <si>
    <t xml:space="preserve">potion of strength</t>
  </si>
  <si>
    <t xml:space="preserve">strength boost</t>
  </si>
  <si>
    <t xml:space="preserve">potion of the gentle giant</t>
  </si>
  <si>
    <t xml:space="preserve">strength enhancer</t>
  </si>
  <si>
    <t xml:space="preserve">idol of peace</t>
  </si>
  <si>
    <t xml:space="preserve">subdual field</t>
  </si>
  <si>
    <t xml:space="preserve">potion of greater telepathy</t>
  </si>
  <si>
    <t xml:space="preserve">telepathy</t>
  </si>
  <si>
    <t xml:space="preserve">scroll of short teleportation</t>
  </si>
  <si>
    <t xml:space="preserve">teleporter (bounder)</t>
  </si>
  <si>
    <t xml:space="preserve">scroll of unlimited teleportation</t>
  </si>
  <si>
    <t xml:space="preserve">teleporter (interstellar)</t>
  </si>
  <si>
    <t xml:space="preserve">scroll of long teleportation</t>
  </si>
  <si>
    <t xml:space="preserve">teleporter (planetary)</t>
  </si>
  <si>
    <t xml:space="preserve">scroll of medium teleportation</t>
  </si>
  <si>
    <t xml:space="preserve">teleporter (traveler)</t>
  </si>
  <si>
    <t xml:space="preserve">scroll of historical scrying</t>
  </si>
  <si>
    <t xml:space="preserve">temporal viewer</t>
  </si>
  <si>
    <t xml:space="preserve">399</t>
  </si>
  <si>
    <t xml:space="preserve">potion of erratic blinking</t>
  </si>
  <si>
    <t xml:space="preserve">time dilation (defensive)</t>
  </si>
  <si>
    <t xml:space="preserve">potion of haste</t>
  </si>
  <si>
    <t xml:space="preserve">time dilation (offensive)</t>
  </si>
  <si>
    <t xml:space="preserve">potion of troll blood</t>
  </si>
  <si>
    <t xml:space="preserve">tissue regeneration</t>
  </si>
  <si>
    <t xml:space="preserve">crystal spider dart</t>
  </si>
  <si>
    <t xml:space="preserve">tracer</t>
  </si>
  <si>
    <t xml:space="preserve">potion of beast training</t>
  </si>
  <si>
    <t xml:space="preserve">trick embedder</t>
  </si>
  <si>
    <t xml:space="preserve">crystal of aelectricity</t>
  </si>
  <si>
    <t xml:space="preserve">Uninterruptible Power Source</t>
  </si>
  <si>
    <t xml:space="preserve">potion of invisibility</t>
  </si>
  <si>
    <t xml:space="preserve">vanisher</t>
  </si>
  <si>
    <t xml:space="preserve">oil of the doppelganger</t>
  </si>
  <si>
    <t xml:space="preserve">visage changer</t>
  </si>
  <si>
    <t xml:space="preserve">potion of mirror image</t>
  </si>
  <si>
    <t xml:space="preserve">visual displacement device</t>
  </si>
  <si>
    <t xml:space="preserve">potion of translation</t>
  </si>
  <si>
    <t xml:space="preserve">vocal translator</t>
  </si>
  <si>
    <t xml:space="preserve">potion of warmth</t>
  </si>
  <si>
    <t xml:space="preserve">warmth</t>
  </si>
  <si>
    <t xml:space="preserve">400</t>
  </si>
  <si>
    <t xml:space="preserve">potion of water breathing</t>
  </si>
  <si>
    <t xml:space="preserve">water adapter</t>
  </si>
  <si>
    <t xml:space="preserve">oil of weapon enhancement</t>
  </si>
  <si>
    <t xml:space="preserve">weapon enhancement</t>
  </si>
  <si>
    <t xml:space="preserve">potion of flying</t>
  </si>
  <si>
    <t xml:space="preserve">wings</t>
  </si>
  <si>
    <t xml:space="preserve">crystal lens of piercing vision</t>
  </si>
  <si>
    <t xml:space="preserve">x-ray viewer</t>
  </si>
  <si>
    <t xml:space="preserve">crystal dart of resilient force</t>
  </si>
  <si>
    <t xml:space="preserve">zero point field</t>
  </si>
  <si>
    <t xml:space="preserve">pub_date</t>
  </si>
  <si>
    <t xml:space="preserve">created</t>
  </si>
  <si>
    <t xml:space="preserve">updated</t>
  </si>
  <si>
    <t xml:space="preserve">name</t>
  </si>
  <si>
    <t xml:space="preserve">name_en</t>
  </si>
  <si>
    <t xml:space="preserve">effect</t>
  </si>
  <si>
    <t xml:space="preserve">hint</t>
  </si>
  <si>
    <t xml:space="preserve">table</t>
  </si>
  <si>
    <t xml:space="preserve">level</t>
  </si>
  <si>
    <t xml:space="preserve">cs_page</t>
  </si>
  <si>
    <t xml:space="preserve">is_manifeste</t>
  </si>
  <si>
    <t xml:space="preserve">is_fantastic</t>
  </si>
  <si>
    <t xml:space="preserve">is_subtle</t>
  </si>
  <si>
    <t xml:space="preserve">Column1</t>
  </si>
  <si>
    <t xml:space="preserve">Column2</t>
  </si>
  <si>
    <t xml:space="preserve">2024-10-01T16:53:31.844Z</t>
  </si>
  <si>
    <t xml:space="preserve">Stimulant</t>
  </si>
  <si>
    <t xml:space="preserve">Stim</t>
  </si>
  <si>
    <t xml:space="preserve">Facilite la prochaine action de l'utilisateur de trois crans.</t>
  </si>
  <si>
    <t xml:space="preserve">1d6</t>
  </si>
  <si>
    <t xml:space="preserve">(Cypher System Rulebook, page 398)</t>
  </si>
  <si>
    <t xml:space="preserve">2024-10-01T16:53:31.483Z</t>
  </si>
  <si>
    <t xml:space="preserve">Stabilisateur Mental</t>
  </si>
  <si>
    <t xml:space="preserve">Mind Stabilizer</t>
  </si>
  <si>
    <t xml:space="preserve">L'utilisateur gagne +5 à  l'Armure contre les dégâts d'Intellect.</t>
  </si>
  <si>
    <t xml:space="preserve">(Cypher System Rulebook, page 393)</t>
  </si>
  <si>
    <t xml:space="preserve">2024-10-01T16:53:30.915Z</t>
  </si>
  <si>
    <t xml:space="preserve">Catholicon</t>
  </si>
  <si>
    <t xml:space="preserve">Guérit toute maladie d'un niveau égal ou inférieur à  celui du cypher.</t>
  </si>
  <si>
    <t xml:space="preserve">(Cypher System Rulebook, page 385)</t>
  </si>
  <si>
    <t xml:space="preserve">2024-10-01T16:53:31.528Z</t>
  </si>
  <si>
    <t xml:space="preserve">Perfection</t>
  </si>
  <si>
    <t xml:space="preserve">L'utilisateur considère sa prochaine action comme s'il avait lancé un naturel 20.</t>
  </si>
  <si>
    <t xml:space="preserve">2024-10-01T16:53:31.676Z</t>
  </si>
  <si>
    <t xml:space="preserve">Régénérateur</t>
  </si>
  <si>
    <t xml:space="preserve">Rejuvenator</t>
  </si>
  <si>
    <t xml:space="preserve">&lt;table class="table table-light table-striped table-sm og-dt"&gt;
  &lt;thead&gt;
    &lt;tr&gt;
      &lt;th scope="col" class="text-center w-15"&gt;d100&lt;/th&gt;
      &lt;th&gt;Stat Pool&lt;/th&gt;
    &lt;/tr&gt;
  &lt;/thead&gt;
  &lt;tbody&gt;
    &lt;tr&gt;
&lt;td scope="col" class="text-center w-15"&gt;01&amp;mdash;50&lt;/td&gt;
      &lt;td&gt;Réserve de Puissance&lt;/td&gt;
    &lt;/tr&gt;
    &lt;tr&gt;
&lt;td scope="col" class="text-center w-15"&gt;51&amp;mdash;75&lt;/td&gt;
      &lt;td&gt;Réserve de Célérité&lt;/td&gt;
    &lt;/tr&gt;
    &lt;tr&gt;
&lt;td scope="col" class="text-center w-15"&gt;76&amp;mdash;00&lt;/td&gt;
      &lt;td&gt;Réserve d'Intellect&lt;/td&gt;
    &lt;/tr&gt;
  &lt;/tbody&gt;
&lt;/table&gt;</t>
  </si>
  <si>
    <t xml:space="preserve">(Cypher System Rulebook, page 395)</t>
  </si>
  <si>
    <t xml:space="preserve">2024-10-01T16:53:31.429Z</t>
  </si>
  <si>
    <t xml:space="preserve">Aide à  la Méditation</t>
  </si>
  <si>
    <t xml:space="preserve">Meditation Aid</t>
  </si>
  <si>
    <t xml:space="preserve">(Cypher System Rulebook, page 392)</t>
  </si>
  <si>
    <t xml:space="preserve">2024-10-01T16:53:32.019Z</t>
  </si>
  <si>
    <t xml:space="preserve">Ailes</t>
  </si>
  <si>
    <t xml:space="preserve">Wings</t>
  </si>
  <si>
    <t xml:space="preserve">L'utilisateur peut voler à  sa vitesse de course normale pendant dix minutes par niveau de cypher.</t>
  </si>
  <si>
    <t xml:space="preserve">(Cypher System Rulebook, page 400)</t>
  </si>
  <si>
    <t xml:space="preserve">2024-10-01T16:53:30.845Z</t>
  </si>
  <si>
    <t xml:space="preserve">Analeptique</t>
  </si>
  <si>
    <t xml:space="preserve">Analeptic</t>
  </si>
  <si>
    <t xml:space="preserve">(Cypher System Rulebook, page 384)</t>
  </si>
  <si>
    <t xml:space="preserve">2024-10-01T16:53:31.169Z</t>
  </si>
  <si>
    <t xml:space="preserve">Bouclier Durable</t>
  </si>
  <si>
    <t xml:space="preserve">Enduring Shield</t>
  </si>
  <si>
    <t xml:space="preserve">Pour la prochaine journée, l'utilisateur bénéficie d'un atout pour les jets de défense en Célérité.</t>
  </si>
  <si>
    <t xml:space="preserve">1d6 + 4</t>
  </si>
  <si>
    <t xml:space="preserve">(Cypher System Rulebook, page 388)</t>
  </si>
  <si>
    <t xml:space="preserve">2024-10-01T16:53:30.959Z</t>
  </si>
  <si>
    <t xml:space="preserve">Curatif</t>
  </si>
  <si>
    <t xml:space="preserve">Curative</t>
  </si>
  <si>
    <t xml:space="preserve">(Cypher System Rulebook, page 386)</t>
  </si>
  <si>
    <t xml:space="preserve">2024-10-01T16:53:31.547Z</t>
  </si>
  <si>
    <t xml:space="preserve">Poison (Emotion)</t>
  </si>
  <si>
    <t xml:space="preserve">La victime ressent une émotion spécifique pendant une heure. Lancez un d100 pour déterminer l'émotion.</t>
  </si>
  <si>
    <t xml:space="preserve">
=====
&lt;table class="table table-light table-striped table-sm og-dt"&gt;
  &lt;thead&gt;
    &lt;tr&gt;
      &lt;th scope="col" class="text-center w-15"&gt;d100&lt;/th&gt;
      &lt;th&gt;Emotion&lt;/th&gt;
    &lt;/tr&gt;
  &lt;/thead&gt;
  &lt;tbody&gt;
    &lt;tr&gt;
&lt;td scope="col" class="text-center w-15"&gt;01&amp;mdash;20&lt;/td&gt;
      &lt;td&gt;Colère. Pràêt à  attaquer quiconque n'est pas d'accord avec eux. Très difficile à  interagir ; toutes ces actions sont entravées de deux étapes.&lt;/td&gt;
    &lt;/tr&gt;
    &lt;tr&gt;
&lt;td scope="col" class="text-center w-15"&gt;21&amp;mdash;40&lt;/td&gt;
      &lt;td&gt;Peur. Fuit dans la terreur pendant une minute lorsqu'il est menacé.&lt;/td&gt;
    &lt;/tr&gt;
    &lt;tr&gt;
&lt;td scope="col" class="text-center w-15"&gt;41&amp;mdash;60&lt;/td&gt;
      &lt;td&gt;Désir. Ne peut se concentrer sur aucune activité non sexuelle.&lt;/td&gt;
    &lt;/tr&gt;
    &lt;tr&gt;
&lt;td scope="col" class="text-center w-15"&gt;61&amp;mdash;75&lt;/td&gt;
      &lt;td&gt;Tristesse. Toutes les tâches sont entravées.&lt;/td&gt;
    &lt;/tr&gt;
    &lt;tr&gt;
&lt;td scope="col" class="text-center w-15"&gt;76&amp;mdash;85&lt;/td&gt;
      &lt;td&gt;Complaisance. N'a aucune motivation. Toutes les tâches sont entravées de deux étapes.&lt;/td&gt;
    &lt;/tr&gt;
    &lt;tr&gt;
&lt;td scope="col" class="text-center w-15"&gt;86&amp;mdash;95&lt;/td&gt;
      &lt;td&gt;Joie. Facile à  interagir de manière agréable ; toutes les tâches d'interaction agréables sont facilitées.&lt;/td&gt;
    &lt;/tr&gt;
    &lt;tr&gt;
&lt;td scope="col" class="text-center w-15"&gt;96&amp;mdash;00&lt;/td&gt;
      &lt;td&gt;Amour. Beaucoup plus facile à  interagir ; toutes les tâches d'interaction sont facilitées de deux étapes, mais un attachement temporaire est probable.&lt;/td&gt;
    &lt;/tr&gt;
  &lt;/tbody&gt;
&lt;/table&gt;
=====
</t>
  </si>
  <si>
    <t xml:space="preserve">&lt;table class="table table-light table-striped table-sm og-dt"&gt;
  &lt;thead&gt;
    &lt;tr&gt;
      &lt;th scope="col" class="text-center w-15"&gt;d100&lt;/th&gt;
      &lt;th&gt;Emotion&lt;/th&gt;
    &lt;/tr&gt;
  &lt;/thead&gt;
  &lt;tbody&gt;
    &lt;tr&gt;
&lt;td scope="col" class="text-center w-15"&gt;01&amp;mdash;20&lt;/td&gt;
      &lt;td&gt;Colère. Pràêt à  attaquer quiconque n'est pas d'accord avec eux. Très difficile à  interagir ; toutes ces actions sont entravées de deux étapes.&lt;/td&gt;
    &lt;/tr&gt;
    &lt;tr&gt;
&lt;td scope="col" class="text-center w-15"&gt;21&amp;mdash;40&lt;/td&gt;
      &lt;td&gt;Peur. Fuit dans la terreur pendant une minute lorsqu'il est menacé.&lt;/td&gt;
    &lt;/tr&gt;
    &lt;tr&gt;
&lt;td scope="col" class="text-center w-15"&gt;41&amp;mdash;60&lt;/td&gt;
      &lt;td&gt;Désir. Ne peut se concentrer sur aucune activité non sexuelle.&lt;/td&gt;
    &lt;/tr&gt;
    &lt;tr&gt;
&lt;td scope="col" class="text-center w-15"&gt;61&amp;mdash;75&lt;/td&gt;
      &lt;td&gt;Tristesse. Toutes les tâches sont entravées.&lt;/td&gt;
    &lt;/tr&gt;
    &lt;tr&gt;
&lt;td scope="col" class="text-center w-15"&gt;76&amp;mdash;85&lt;/td&gt;
      &lt;td&gt;Complaisance. N'a aucune motivation. Toutes les tâches sont entravées de deux étapes.&lt;/td&gt;
    &lt;/tr&gt;
    &lt;tr&gt;
&lt;td scope="col" class="text-center w-15"&gt;86&amp;mdash;95&lt;/td&gt;
      &lt;td&gt;Joie. Facile à  interagir de manière agréable ; toutes les tâches d'interaction agréables sont facilitées.&lt;/td&gt;
    &lt;/tr&gt;
    &lt;tr&gt;
&lt;td scope="col" class="text-center w-15"&gt;96&amp;mdash;00&lt;/td&gt;
      &lt;td&gt;Amour. Beaucoup plus facile à  interagir ; toutes les tâches d'interaction sont facilitées de deux étapes, mais un attachement temporaire est probable.&lt;/td&gt;
    &lt;/tr&gt;
  &lt;/tbody&gt;
&lt;/table&gt;</t>
  </si>
  <si>
    <t xml:space="preserve">(Cypher System Rulebook, page 394)</t>
  </si>
  <si>
    <t xml:space="preserve">2024-10-01T16:53:31.851Z</t>
  </si>
  <si>
    <t xml:space="preserve">Amélioration de Puissance</t>
  </si>
  <si>
    <t xml:space="preserve">Strength Boost</t>
  </si>
  <si>
    <t xml:space="preserve">Ajoute 1 à  l'Avantage de Puissance pendant une heure (ou 2 si le cypher est de niveau 5 ou supérieur).</t>
  </si>
  <si>
    <t xml:space="preserve">2024-10-01T16:53:31.107Z</t>
  </si>
  <si>
    <t xml:space="preserve">Désarmement</t>
  </si>
  <si>
    <t xml:space="preserve">Disarm</t>
  </si>
  <si>
    <t xml:space="preserve">Un PNJ dans un rayon immédiat dont le niveau est inférieur à  celui du cypher laisse tomber ce qu'il tient.</t>
  </si>
  <si>
    <t xml:space="preserve">1d6 + 1</t>
  </si>
  <si>
    <t xml:space="preserve">(Cypher System Rulebook, page 387)</t>
  </si>
  <si>
    <t xml:space="preserve">2024-10-01T16:53:31.792Z</t>
  </si>
  <si>
    <t xml:space="preserve">Solvant</t>
  </si>
  <si>
    <t xml:space="preserve">Solvent</t>
  </si>
  <si>
    <t xml:space="preserve">Dissout 1 pied cube de matériel chaque round. Après un round par niveau de cypher, le cypher devient inerte.</t>
  </si>
  <si>
    <t xml:space="preserve">1d10</t>
  </si>
  <si>
    <t xml:space="preserve">(Cypher System Rulebook, page 397)</t>
  </si>
  <si>
    <t xml:space="preserve">2024-10-01T16:53:31.348Z</t>
  </si>
  <si>
    <t xml:space="preserve">Amplificateur d'Intellect</t>
  </si>
  <si>
    <t xml:space="preserve">Intellect Booster</t>
  </si>
  <si>
    <t xml:space="preserve">Ajoute 1 à  l'Avantage d'Intellect de l'utilisateur pendant une heure (ou 2 si le cypher est de niveau 5 ou plus).</t>
  </si>
  <si>
    <t xml:space="preserve">(Cypher System Rulebook, page 391)</t>
  </si>
  <si>
    <t xml:space="preserve">2024-10-01T16:53:30.860Z</t>
  </si>
  <si>
    <t xml:space="preserve">Renforcement d'Armure</t>
  </si>
  <si>
    <t xml:space="preserve">Armor Reinforcer</t>
  </si>
  <si>
    <t xml:space="preserve">armure de l'utilisateur bénéficie d'une amélioration pendant vingt-quatre heures. Lancez un d6 pour déterminer le résultat.</t>
  </si>
  <si>
    <t xml:space="preserve">&lt;table class="table table-light table-striped table-sm og-dt"&gt;
  &lt;thead&gt;
    &lt;tr&gt;
      &lt;th&gt;d6&lt;/th&gt;
      &lt;th&gt;Bonus d'Armure&lt;/th&gt;
    &lt;/tr&gt;
  &lt;/thead&gt;
  &lt;tbody&gt;
    &lt;tr&gt;
&lt;td scope="col" class="text-center w-15"&gt;1&lt;/td&gt;
      &lt;td&gt;+1 à  l'Armure&lt;/td&gt;
    &lt;/tr&gt;
    &lt;tr&gt;
&lt;td scope="col" class="text-center w-15"&gt;2&lt;/td&gt;
      &lt;td&gt;+2 à  l'Armure&lt;/td&gt;
    &lt;/tr&gt;
    &lt;tr&gt;
&lt;td scope="col" class="text-center w-15"&gt;3&lt;/td&gt;
      &lt;td&gt;+3 à  l'Armure&lt;/td&gt;
    &lt;/tr&gt;
    &lt;tr&gt;
&lt;td scope="col" class="text-center w-15"&gt;4&lt;/td&gt;
      &lt;td&gt;+2 à  l'Armure, +5 contre les dégâts de feu&lt;/td&gt;
    &lt;/tr&gt;
    &lt;tr&gt;
&lt;td scope="col" class="text-center w-15"&gt;5&lt;/td&gt;
      &lt;td&gt;+2 à  l'Armure, +5 contre les dégâts de froid&lt;/td&gt;
    &lt;/tr&gt;
    &lt;tr&gt;
&lt;td scope="col" class="text-center w-15"&gt;6&lt;/td&gt;
      &lt;td&gt;+2 à  l'Armure, +5 contre les dégâts d'acide&lt;/td&gt;
    &lt;/tr&gt;
  &lt;/tbody&gt;
&lt;/table&gt;</t>
  </si>
  <si>
    <t xml:space="preserve">2024-10-01T16:53:30.835Z</t>
  </si>
  <si>
    <t xml:space="preserve">Adhésion</t>
  </si>
  <si>
    <t xml:space="preserve">Adhesion</t>
  </si>
  <si>
    <t xml:space="preserve">Permet de grimper automatiquement sur toute les surfaces, màême horizontales. Dure pendant 10 minutes par niveau du cypher.</t>
  </si>
  <si>
    <t xml:space="preserve">2024-10-01T16:53:31.821Z</t>
  </si>
  <si>
    <t xml:space="preserve">Amélioration de Célérité</t>
  </si>
  <si>
    <t xml:space="preserve">Speed Boost</t>
  </si>
  <si>
    <t xml:space="preserve">Ajoute 1 à  l'Avantage de Célérité de l'utilisateur pendant une heure (ajoute 2 si le cypher est de niveau 5 ou supérieur).</t>
  </si>
  <si>
    <t xml:space="preserve">2024-10-01T16:53:31.518Z</t>
  </si>
  <si>
    <t xml:space="preserve">Nutrition et Hydratation</t>
  </si>
  <si>
    <t xml:space="preserve">Nutrition And Hydration</t>
  </si>
  <si>
    <t xml:space="preserve">L'utilisateur peut se passer de nourriture et d'eau pendant un nombre de jours égal au niveau du cypher sans effets néfastes.</t>
  </si>
  <si>
    <t xml:space="preserve">2024-10-01T16:53:31.753Z</t>
  </si>
  <si>
    <t xml:space="preserve">Electrisant</t>
  </si>
  <si>
    <t xml:space="preserve">Shocker</t>
  </si>
  <si>
    <t xml:space="preserve">Inflige une puissante décharge d'électricité qui choque toute créature touchée, infligeant des dégâts égaux au niveau du cyphe</t>
  </si>
  <si>
    <t xml:space="preserve">(Cypher System Rulebook, page 396)</t>
  </si>
  <si>
    <t xml:space="preserve">2024-10-01T16:53:31.876Z</t>
  </si>
  <si>
    <t xml:space="preserve">Télépathie</t>
  </si>
  <si>
    <t xml:space="preserve">Telepathy</t>
  </si>
  <si>
    <t xml:space="preserve">Pendant une heure, le dispositif permet une communication mentale à  longue distance avec quiconque que l'utilisateur peut voir.</t>
  </si>
  <si>
    <t xml:space="preserve">2024-10-01T16:53:31.564Z</t>
  </si>
  <si>
    <t xml:space="preserve">Poison (Contrôle Mental)</t>
  </si>
  <si>
    <t xml:space="preserve">Poison (Mind Controlling)</t>
  </si>
  <si>
    <t xml:space="preserve">La victime doit accomplir une action spécifique en réponse à  un déclencheur spécifique. Lancez un d100 pour déterminer l'action.</t>
  </si>
  <si>
    <t xml:space="preserve">&lt;table class="table table-light table-striped table-sm og-dt"&gt;
  &lt;thead&gt;
    &lt;tr&gt;
      &lt;th scope="col" class="text-center w-15"&gt;d100&lt;/th&gt;
      &lt;th&gt;Action&lt;/th&gt;
    &lt;/tr&gt;
  &lt;/thead&gt;
  &lt;tbody&gt;
    &lt;tr&gt;
&lt;td scope="col" class="text-center w-15"&gt;01&amp;mdash;20&lt;/td&gt;
      &lt;td&gt;Se couche pendant une minute les yeux fermés lorsqu'on lui demande.&lt;/td&gt;
    &lt;/tr&gt;
    &lt;tr&gt;
&lt;td scope="col" class="text-center w-15"&gt;21&amp;mdash;40&lt;/td&gt;
      &lt;td&gt;Fuit dans la terreur pendant une minute lorsqu'elle est menacée.&lt;/td&gt;
    &lt;/tr&gt;
    &lt;tr&gt;
&lt;td scope="col" class="text-center w-15"&gt;41&amp;mdash;60&lt;/td&gt;
      &lt;td&gt;Répond aux questions honnàêtement pendant une minute.&lt;/td&gt;
    &lt;/tr&gt;
    &lt;tr&gt;
&lt;td scope="col" class="text-center w-15"&gt;61&amp;mdash;75&lt;/td&gt;
      &lt;td&gt;Attaque un ami proche pendant un round lorsqu'il est à  portée immédiate.&lt;/td&gt;
    &lt;/tr&gt;
    &lt;tr&gt;
&lt;td scope="col" class="text-center w-15"&gt;76&amp;mdash;85&lt;/td&gt;
      &lt;td&gt;Obéit à  la prochaine commande verbale donnée (si elle est comprise).&lt;/td&gt;
    &lt;/tr&gt;
    &lt;tr&gt;
&lt;td scope="col" class="text-center w-15"&gt;86&amp;mdash;95&lt;/td&gt;
      &lt;td&gt;Pendant un jour, devient sexuellement attiré par la prochaine créature de sa propre espèce qu'il voit.&lt;/td&gt;
    &lt;/tr&gt;
    &lt;tr&gt;
&lt;td scope="col" class="text-center w-15"&gt;96&amp;mdash;00&lt;/td&gt;
      &lt;td&gt;Pendant une minute, se dirige vers le prochain objet rouge aperà§u au lieu de toutes les autres actions, ignorant l'autoconservation.&lt;/td&gt;
    &lt;/tr&gt;
  &lt;/tbody&gt;
&lt;/table&gt;</t>
  </si>
  <si>
    <t xml:space="preserve">2024-10-01T16:53:31.190Z</t>
  </si>
  <si>
    <t xml:space="preserve">Résistance au Feu</t>
  </si>
  <si>
    <t xml:space="preserve">Fireproofing</t>
  </si>
  <si>
    <t xml:space="preserve">Un objet inanimé traité par ce cypher bénéficie d'une Armure contre les dégâts de feu égale au niveau du cypher pendant une journée.</t>
  </si>
  <si>
    <t xml:space="preserve">2024-10-01T16:53:32.010Z</t>
  </si>
  <si>
    <t xml:space="preserve">Amélioration d'Arme</t>
  </si>
  <si>
    <t xml:space="preserve">Weapon Enhancement</t>
  </si>
  <si>
    <t xml:space="preserve">Modifie l'attaque d'une arme d'une manière particulière pendant dix minutes par niveau de cypher. Lancez un d100 pour la modification.</t>
  </si>
  <si>
    <t xml:space="preserve">&lt;table class="table table-light table-striped table-sm og-dt"&gt;
  &lt;thead&gt;
    &lt;tr&gt;
      &lt;th scope="col" class="text-center w-15"&gt;d100&lt;/th&gt;
      &lt;th&gt;Modification&lt;/th&gt;
    &lt;/tr&gt;
  &lt;/thead&gt;
  &lt;tbody&gt;
    &lt;tr&gt;
&lt;td scope="col" class="text-center w-15"&gt;01&amp;mdash;10&lt;/td&gt;
      &lt;td&gt;Facilite l'attaque d'un niveau&lt;/td&gt;
    &lt;/tr&gt;
    &lt;tr&gt;
&lt;td scope="col" class="text-center w-15"&gt;11&amp;mdash;20&lt;/td&gt;
      &lt;td&gt;Inflige des dégâts électriques supplémentaires égaux au niveau du cypher&lt;/td&gt;
    &lt;/tr&gt;
    &lt;tr&gt;
&lt;td scope="col" class="text-center w-15"&gt;21&amp;mdash;30&lt;/td&gt;
      &lt;td&gt;Inflige des dégâts de froid supplémentaires égaux au niveau du cypher&lt;/td&gt;
    &lt;/tr&gt;
    &lt;tr&gt;
&lt;td scope="col" class="text-center w-15"&gt;31&amp;mdash;40&lt;/td&gt;
      &lt;td&gt;Inflige des dégâts de poison supplémentaires égaux au niveau du cypher&lt;/td&gt;
    &lt;/tr&gt;
    &lt;tr&gt;
&lt;td scope="col" class="text-center w-15"&gt;41&amp;mdash;50&lt;/td&gt;
      &lt;td&gt;Inflige des dégâts acides supplémentaires égaux au niveau du cypher&lt;/td&gt;
    &lt;/tr&gt;
    &lt;tr&gt;
&lt;td scope="col" class="text-center w-15"&gt;51&amp;mdash;60&lt;/td&gt;
      &lt;td&gt;Inflige des dégâts de feu supplémentaires égaux au niveau du cypher&lt;/td&gt;
    &lt;/tr&gt;
    &lt;tr&gt;
&lt;td scope="col" class="text-center w-15"&gt;61&amp;mdash;70&lt;/td&gt;
      &lt;td&gt;Inflige des dégâts soniques supplémentaires égaux au niveau du cypher&lt;/td&gt;
    &lt;/tr&gt;
    &lt;tr&gt;
&lt;td scope="col" class="text-center w-15"&gt;71&amp;mdash;80&lt;/td&gt;
      &lt;td&gt;Inflige des dégâts psychiques supplémentaires égaux au niveau du cypher&lt;/td&gt;
    &lt;/tr&gt;
    &lt;tr&gt;
&lt;td scope="col" class="text-center w-15"&gt;81&amp;mdash;90&lt;/td&gt;
      &lt;td&gt;Recul (sur 18&amp;mdash;20 lors d'un jet d'attaque réussi, la cible est repoussée de 30 pieds [9 m])&lt;/td&gt;
    &lt;/tr&gt;
    &lt;tr&gt;
&lt;td scope="col" class="text-center w-15"&gt;91&amp;mdash;95&lt;/td&gt;
      &lt;td&gt;Immobilisation (sur 18&amp;mdash;20 lors d'un jet d'attaque réussi, la cible ne peut pas agir lors de son prochain tour)&lt;/td&gt;
    &lt;/tr&gt;
    &lt;tr&gt;
&lt;td scope="col" class="text-center w-15"&gt;96&amp;mdash;97&lt;/td&gt;
      &lt;td&gt;Facilite l'attaque de deux niveaux&lt;/td&gt;
    &lt;/tr&gt;
    &lt;tr&gt;
&lt;td scope="col" class="text-center w-15"&gt;98&lt;/td&gt;
      &lt;td&gt;Exil (sur 18&amp;mdash;20 lors d'un jet d'attaque réussi, la cible est envoyée à  un endroit aléatoire à  au moins 100 miles [160 km] de distance)&lt;/td&gt;
    &lt;/tr&gt;
    &lt;tr&gt;
&lt;td scope="col" class="text-center w-15"&gt;99&lt;/td&gt;
      &lt;td&gt;Explose, infligeant des dégâts égaux au niveau du cypher à  tous ceux dans la portée immédiate&lt;/td&gt;
    &lt;/tr&gt;
    &lt;tr&gt;
&lt;td scope="col" class="text-center w-15"&gt;00&lt;/td&gt;
      &lt;td&gt;Ciblage du cÅ“ur (sur 18&amp;mdash;20 lors d'un jet d'attaque réussi, la cible est tuée)&lt;/td&gt;
    &lt;/tr&gt;
  &lt;/tbody&gt;
&lt;/table&gt;</t>
  </si>
  <si>
    <t xml:space="preserve">2024-10-01T16:53:30.882Z</t>
  </si>
  <si>
    <t xml:space="preserve">Meilleur Outil</t>
  </si>
  <si>
    <t xml:space="preserve">Best Tool</t>
  </si>
  <si>
    <t xml:space="preserve">Fournit un atout supplémentaire pour toute tâche utilisant un outil, màême si cela signifie dépasser la limite normale de deux atouts.</t>
  </si>
  <si>
    <t xml:space="preserve">2024-10-01T16:53:31.985Z</t>
  </si>
  <si>
    <t xml:space="preserve">Traducteur Vocal</t>
  </si>
  <si>
    <t xml:space="preserve">Vocal Translator</t>
  </si>
  <si>
    <t xml:space="preserve">Pendant vingt-quatre heures par niveau de cypher, traduit tout ce que dit l'utilisateur dans une langue que tout le monde peut comprendre.</t>
  </si>
  <si>
    <t xml:space="preserve">(Cypher System Rulebook, page 399)</t>
  </si>
  <si>
    <t xml:space="preserve">2024-10-01T16:53:31.658Z</t>
  </si>
  <si>
    <t xml:space="preserve">Pic de Réalité</t>
  </si>
  <si>
    <t xml:space="preserve">Reality Spike</t>
  </si>
  <si>
    <t xml:space="preserve">Une fois activé, le cypher ne bouge jamais, màême s'il est activé en l'air. Une action de Puissance le délogera, mais il sera alors ruiné.</t>
  </si>
  <si>
    <t xml:space="preserve">2024-10-01T16:53:31.574Z</t>
  </si>
  <si>
    <t xml:space="preserve">Poison (Perturbation Mentale)</t>
  </si>
  <si>
    <t xml:space="preserve">Poison (Mind Disrupting)</t>
  </si>
  <si>
    <t xml:space="preserve">La victime subit des dégâts d'Intellect égaux au niveau du cypher et ne peut pas agir pendant un nombre de rounds égal au niveau du cypher.</t>
  </si>
  <si>
    <t xml:space="preserve">2024-10-01T16:53:31.584Z</t>
  </si>
  <si>
    <t xml:space="preserve">Pic de Radiation</t>
  </si>
  <si>
    <t xml:space="preserve">Radiation Spike</t>
  </si>
  <si>
    <t xml:space="preserve">Inflige une forte impulsion de radiation qui perturbe les tissus de toute créature touchée, infligeant des dégâts égaux au niveau du cypher.</t>
  </si>
  <si>
    <t xml:space="preserve">2024-10-01T16:53:31.714Z</t>
  </si>
  <si>
    <t xml:space="preserve">Repousser</t>
  </si>
  <si>
    <t xml:space="preserve">Repel</t>
  </si>
  <si>
    <t xml:space="preserve">Un PNJ à  portée immédiate qui est d'un niveau inférieur au cypher décide de partir, utilisant ses cinq prochains rounds pour s'éloigner rapidement.</t>
  </si>
  <si>
    <t xml:space="preserve">2024-10-01T16:53:31.692Z</t>
  </si>
  <si>
    <t xml:space="preserve">Vision à  Distance</t>
  </si>
  <si>
    <t xml:space="preserve">Remote Viewer</t>
  </si>
  <si>
    <t xml:space="preserve">Pendant une heure par niveau de cypher, l'utilisateur peut voir tout ce qui se passe dans les environs du cypher, quelle que soit la distance entre eux.</t>
  </si>
  <si>
    <t xml:space="preserve">2024-10-01T16:53:31.220Z</t>
  </si>
  <si>
    <t xml:space="preserve">Projecteur d'Ecran de Force</t>
  </si>
  <si>
    <t xml:space="preserve">Force Screen Projector</t>
  </si>
  <si>
    <t xml:space="preserve">Crée un plan immobile de force solide mesurant jusqu'à  6 m par 6 m (20 pieds par 20 pieds) pendant une heure. Le plan se conforme à  l'espace disponible.</t>
  </si>
  <si>
    <t xml:space="preserve">1d6 + 3</t>
  </si>
  <si>
    <t xml:space="preserve">(Cypher System Rulebook, page 389)</t>
  </si>
  <si>
    <t xml:space="preserve">2024-10-01T16:53:31.511Z</t>
  </si>
  <si>
    <t xml:space="preserve">Rayon de Nullification</t>
  </si>
  <si>
    <t xml:space="preserve">Nullification Ray</t>
  </si>
  <si>
    <t xml:space="preserve">L'utilisateur peut mettre immédiatement fin à  un effet en cours dans la portée longue qui est produit par un artefact, un cypher ou une capacité spéciale.</t>
  </si>
  <si>
    <t xml:space="preserve">2024-10-01T16:53:30.907Z</t>
  </si>
  <si>
    <t xml:space="preserve">Explosion de Célérité</t>
  </si>
  <si>
    <t xml:space="preserve">Burst Of Speed</t>
  </si>
  <si>
    <t xml:space="preserve">Pendant une minute, un utilisateur qui peut normalement se déplacer sur une courte distance en une action peut se déplacer sur une longue distance à  la place.</t>
  </si>
  <si>
    <t xml:space="preserve">2024-10-01T16:53:31.040Z</t>
  </si>
  <si>
    <t xml:space="preserve">Détonation (Inversion Gravitationnelle)</t>
  </si>
  <si>
    <t xml:space="preserve">Detonation (Gravity Inversion)</t>
  </si>
  <si>
    <t xml:space="preserve">Projette un petit explosif physique jusqu'à  longue distance qui explose, et pendant une heure, la gravité est inversée dans un rayon long autour de l'explosion.</t>
  </si>
  <si>
    <t xml:space="preserve">2024-10-01T16:53:31.776Z</t>
  </si>
  <si>
    <t xml:space="preserve">Inducteur de Sommeil</t>
  </si>
  <si>
    <t xml:space="preserve">Sleep Inducer</t>
  </si>
  <si>
    <t xml:space="preserve">Un contact endort la victime pendant dix minutes par niveau de cypher ou jusqu'à  ce qu'elle soit réveillée par une action violente ou un bruit extràêmement fort.</t>
  </si>
  <si>
    <t xml:space="preserve">2024-10-01T16:53:31.799Z</t>
  </si>
  <si>
    <t xml:space="preserve">Trou Sonore</t>
  </si>
  <si>
    <t xml:space="preserve">Sonic Hole</t>
  </si>
  <si>
    <t xml:space="preserve">Attire tout le son dans un rayon de longue portée dans le dispositif pendant un round par niveau de cypher. Dans la zone affectée, aucun son ne peut àêtre entendu.</t>
  </si>
  <si>
    <t xml:space="preserve">2024-10-01T16:53:31.213Z</t>
  </si>
  <si>
    <t xml:space="preserve">Champ de Force</t>
  </si>
  <si>
    <t xml:space="preserve">Force Field</t>
  </si>
  <si>
    <t xml:space="preserve">Pour la prochaine journée, l'utilisateur est entouré d'un puissant champ de force, lui accordant +1 à  l'Armure (+2 à  l'Armure si le niveau du cypher est 5 ou plus).</t>
  </si>
  <si>
    <t xml:space="preserve">Certains champs, boucliers et cubes de force sont transparents. D'autres sont translucides. Quelques-uns sont opaques.</t>
  </si>
  <si>
    <t xml:space="preserve">2024-10-01T16:53:32.029Z</t>
  </si>
  <si>
    <t xml:space="preserve">Vision aux Rayons X</t>
  </si>
  <si>
    <t xml:space="preserve">X-Ray Viewer</t>
  </si>
  <si>
    <t xml:space="preserve">Permet à  l'utilisateur de voir à  travers jusqu'à  2 pieds (60 cm) de matériau d'un niveau inférieur à  celui du cypher. L'effet dure une minute par niveau de cypher.</t>
  </si>
  <si>
    <t xml:space="preserve">2024-10-01T16:53:31.807Z</t>
  </si>
  <si>
    <t xml:space="preserve">Atténuateur de Son</t>
  </si>
  <si>
    <t xml:space="preserve">Sound Dampener</t>
  </si>
  <si>
    <t xml:space="preserve">Atténue tout son dans un rayon immédiat pendant une minute par niveau de cypher, offrant un Avantage sur les actions de furtivité pour toutes les créatures de la zone.</t>
  </si>
  <si>
    <t xml:space="preserve">2024-10-01T16:53:31.579Z</t>
  </si>
  <si>
    <t xml:space="preserve">Communication Psychique</t>
  </si>
  <si>
    <t xml:space="preserve">Psychic Communique</t>
  </si>
  <si>
    <t xml:space="preserve">Permet à  l'utilisateur de projeter un message télépathique unique et unidirectionnel de jusqu'à  dix mots par niveau de cypher, avec une portée illimitée, à  quiconque qu'il connaît.</t>
  </si>
  <si>
    <t xml:space="preserve">2024-10-01T16:53:31.227Z</t>
  </si>
  <si>
    <t xml:space="preserve">Projecteur de Bouclier de Force</t>
  </si>
  <si>
    <t xml:space="preserve">Force Shield Projector</t>
  </si>
  <si>
    <t xml:space="preserve">Crée un bouclier d'énergie scintillant autour de l'utilisateur pendant une heure, durant laquelle il bénéficie de +3 à  l'Armure (ou +4 à  l'Armure si le cypher est de niveau 5 ou plus).</t>
  </si>
  <si>
    <t xml:space="preserve">2024-10-01T16:53:31.281Z</t>
  </si>
  <si>
    <t xml:space="preserve">Attaque de Chaleur</t>
  </si>
  <si>
    <t xml:space="preserve">Heat Attack</t>
  </si>
  <si>
    <t xml:space="preserve">Pendant la journée suivante, chaque fois que l'utilisateur frappe une créature ou un objet solide, l'attaque génère une explosion de chaleur qui inflige 2 points de dégâts supplémentaires.</t>
  </si>
  <si>
    <t xml:space="preserve">(Cypher System Rulebook, page 390)</t>
  </si>
  <si>
    <t xml:space="preserve">2024-10-01T16:53:31.086Z</t>
  </si>
  <si>
    <t xml:space="preserve">Détonation (Sonique)</t>
  </si>
  <si>
    <t xml:space="preserve">Detonation (Sonic)</t>
  </si>
  <si>
    <t xml:space="preserve">Projette un petit explosif physique jusqu'à  longue distance qui explose avec un bruit terrifiant, rendant sourds tous ceux dans un rayon immédiat pendant dix minutes par niveau du cypher.</t>
  </si>
  <si>
    <t xml:space="preserve">2024-10-01T16:53:31.897Z</t>
  </si>
  <si>
    <t xml:space="preserve">Téléporteur (Planétaire)</t>
  </si>
  <si>
    <t xml:space="preserve">Teleporter (Planetary)</t>
  </si>
  <si>
    <t xml:space="preserve">L'utilisateur se téléporte n'importe oà¹ sur la planète vers un endroit qu'il a déjà  visité ou vu. Il arrive en toute sécurité avec ses possessions, mais ne peut rien d'autre emporter avec lui.</t>
  </si>
  <si>
    <t xml:space="preserve">2024-10-01T16:53:31.891Z</t>
  </si>
  <si>
    <t xml:space="preserve">Téléporteur (Interstellaire)</t>
  </si>
  <si>
    <t xml:space="preserve">Teleporter (Interstellar)</t>
  </si>
  <si>
    <t xml:space="preserve">L'utilisateur se téléporte n'importe oà¹ dans la galaxie vers un endroit qu'il a déjà  visité ou vu. Il arrive en toute sécurité avec ses possessions, mais ne peut rien d'autre emporter avec lui.</t>
  </si>
  <si>
    <t xml:space="preserve">2024-10-01T16:53:31.592Z</t>
  </si>
  <si>
    <t xml:space="preserve">Emetteur de Rayon</t>
  </si>
  <si>
    <t xml:space="preserve">Ray Emitter</t>
  </si>
  <si>
    <t xml:space="preserve">Permet à  l'utilisateur de projeter un rayon d'énergie destructrice jusqu'à  très longue portée, infligeant des dégâts égaux au niveau du cypher. Lancez un d100 pour déterminer le type d'énergie.</t>
  </si>
  <si>
    <t xml:space="preserve">&lt;strong&gt;Emetteurs de Rayon Encore Plus Etranges :&lt;/strong&gt;
&lt;ul&gt;
    &lt;li&gt;Retourne la cible à  l'envers&lt;/li&gt;
    &lt;li&gt;Inflige des dégâts et rend la chair bleue&lt;/li&gt;
    &lt;li&gt;Rend la cible muette&lt;/li&gt;
    &lt;li&gt;Ne nuit qu'aux plantes&lt;/li&gt;
    &lt;li&gt;Ne nuit qu'à  la matière inorganique&lt;/li&gt;
    &lt;li&gt;Transforme la chair en un matériau mort, semblable à  de la pierre&lt;/li&gt;
&lt;/ul&gt;</t>
  </si>
  <si>
    <t xml:space="preserve">&lt;table class="table table-light table-striped table-sm og-dt"&gt;
  &lt;thead&gt;
    &lt;tr&gt;
      &lt;th scope="col" class="text-center w-15"&gt;d100&lt;/th&gt;
      &lt;th&gt;Type d'Energie&lt;/th&gt;
    &lt;/tr&gt;
  &lt;/thead&gt;
  &lt;tbody&gt;
    &lt;tr&gt;
&lt;td scope="col" class="text-center w-15"&gt;01&amp;mdash;50&lt;/td&gt;
      &lt;td&gt;Chaleur/lumière concentrée&lt;/td&gt;
    &lt;/tr&gt;
    &lt;tr&gt;
&lt;td scope="col" class="text-center w-15"&gt;51&amp;mdash;60&lt;/td&gt;
      &lt;td&gt;Radiation perturbatrice cellulaire&lt;/td&gt;
    &lt;/tr&gt;
    &lt;tr&gt;
&lt;td scope="col" class="text-center w-15"&gt;61&amp;mdash;80&lt;/td&gt;
      &lt;td&gt;Force&lt;/td&gt;
    &lt;/tr&gt;
    &lt;tr&gt;
&lt;td scope="col" class="text-center w-15"&gt;81&amp;mdash;87&lt;/td&gt;
      &lt;td&gt;Onde magnétique&lt;/td&gt;
    &lt;/tr&gt;
    &lt;tr&gt;
&lt;td scope="col" class="text-center w-15"&gt;88&amp;mdash;93&lt;/td&gt;
      &lt;td&gt;Perturbation des liaisons moléculaires&lt;/td&gt;
    &lt;/tr&gt;
    &lt;tr&gt;
&lt;td scope="col" class="text-center w-15"&gt;94&amp;mdash;00&lt;/td&gt;
      &lt;td&gt;Froid concentré&lt;/td&gt;
    &lt;/tr&gt;
  &lt;/tbody&gt;
&lt;/table&gt;</t>
  </si>
  <si>
    <t xml:space="preserve">((Cypher System Rulebook, page 395)</t>
  </si>
  <si>
    <t xml:space="preserve">2024-10-01T16:53:31.002Z</t>
  </si>
  <si>
    <t xml:space="preserve">Détonation</t>
  </si>
  <si>
    <t xml:space="preserve">Detonation</t>
  </si>
  <si>
    <t xml:space="preserve">Projette un petit explosif physique jusqu'à  longue distance qui explose dans un rayon immédiat, infligeant des dégâts égaux au niveau du cypher. Lancez un d100 pour déterminer le type de dégâts.</t>
  </si>
  <si>
    <t xml:space="preserve">Toutes les détonations infligeant des dégâts infligent un minimum de 2 points de dégâts à  ceux dans le rayon, quel que soit le jet d'attaque ou de défense.</t>
  </si>
  <si>
    <t xml:space="preserve">&lt;table class="table table-light table-striped table-sm og-dt"&gt;
  &lt;thead&gt;
    &lt;tr&gt;
      &lt;th scope="col" class="text-center w-15"&gt;d100&lt;/th&gt;
      &lt;th&gt;Type de Détonation&lt;/th&gt;
    &lt;/tr&gt;
  &lt;/thead&gt;
  &lt;tbody&gt;
    &lt;tr&gt;
&lt;td scope="col" class="text-center w-15"&gt;01&amp;mdash;10&lt;/td&gt;
      &lt;td&gt;Perturbation cellulaire (n'affecte que la chair)&lt;/td&gt;
    &lt;/tr&gt;
    &lt;tr&gt;
&lt;td scope="col" class="text-center w-15"&gt;11&amp;mdash;30&lt;/td&gt;
      &lt;td&gt;Corrosif&lt;/td&gt;
    &lt;/tr&gt;
    &lt;tr&gt;
&lt;td scope="col" class="text-center w-15"&gt;31&amp;mdash;40&lt;/td&gt;
      &lt;td&gt;Décharge électrique&lt;/td&gt;
    &lt;/tr&gt;
    &lt;tr&gt;
&lt;td scope="col" class="text-center w-15"&gt;41&amp;mdash;50&lt;/td&gt;
      &lt;td&gt;Drain de chaleur (froid)&lt;/td&gt;
    &lt;/tr&gt;
    &lt;tr&gt;
&lt;td scope="col" class="text-center w-15"&gt;51&amp;mdash;75&lt;/td&gt;
      &lt;td&gt;Feu&lt;/td&gt;
    &lt;/tr&gt;
    &lt;tr&gt;
&lt;td scope="col" class="text-center w-15"&gt;76&amp;mdash;00&lt;/td&gt;
      &lt;td&gt;Eclats&lt;/td&gt;
    &lt;/tr&gt;
  &lt;/tbody&gt;
&lt;/table&gt;</t>
  </si>
  <si>
    <t xml:space="preserve">2024-10-01T16:53:31.883Z</t>
  </si>
  <si>
    <t xml:space="preserve">Téléporteur (Sauter)</t>
  </si>
  <si>
    <t xml:space="preserve">Teleporter (Bounder)</t>
  </si>
  <si>
    <t xml:space="preserve">L'utilisateur se téléporte jusqu'à  100 x le niveau du cypher en pieds vers un endroit qu'il peut voir. Il arrive en toute sécurité avec ses possessions, mais ne peut rien d'autre emporter avec lui.</t>
  </si>
  <si>
    <t xml:space="preserve">2024-10-01T16:53:31.607Z</t>
  </si>
  <si>
    <t xml:space="preserve">EmetteurEmetteur de Rayon (Peur) de Rayon (Peur)</t>
  </si>
  <si>
    <t xml:space="preserve">Ray Emitter (Fear)</t>
  </si>
  <si>
    <t xml:space="preserve">Permet à  l'utilisateur de projeter un rayon jusqu'à  portée longue (très longue portée si le cypher est de niveau 6 ou supérieur) qui provoque la fuite de la cible dans la terreur pendant une minute.</t>
  </si>
  <si>
    <t xml:space="preserve">2024-10-01T16:53:31.057Z</t>
  </si>
  <si>
    <t xml:space="preserve">Détonation (Massive)</t>
  </si>
  <si>
    <t xml:space="preserve">Detonation (Massive)</t>
  </si>
  <si>
    <t xml:space="preserve">Projette un petit explosif physique jusqu'à  longue distance qui explose dans un rayon de courte portée, infligeant des dégâts égaux au niveau du cypher. Lancez un d100 pour déterminer le type de dégâts.</t>
  </si>
  <si>
    <t xml:space="preserve">2024-10-01T16:53:31.025Z</t>
  </si>
  <si>
    <t xml:space="preserve">Détonation (Flash)</t>
  </si>
  <si>
    <t xml:space="preserve">Detonation (Flash)</t>
  </si>
  <si>
    <t xml:space="preserve">Projette un petit explosif physique jusqu'à  longue distance qui éclate dans un rayon immédiat, aveuglant tous ceux qui s'y trouvent pendant une minute (dix minutes si le cypher est de niveau 4 ou plus).</t>
  </si>
  <si>
    <t xml:space="preserve">2024-10-01T16:53:31.619Z</t>
  </si>
  <si>
    <t xml:space="preserve">Emetteur de Rayon (Tuer un Ami)</t>
  </si>
  <si>
    <t xml:space="preserve">Ray Emitter (Friend Slaying)</t>
  </si>
  <si>
    <t xml:space="preserve">Permet à  l'utilisateur de projeter un rayon jusqu'à  portée longue (très longue portée si le cypher est de niveau 6 ou supérieur) qui pousse la cible à  attaquer son allié le plus proche pendant un round.</t>
  </si>
  <si>
    <t xml:space="preserve">2024-10-01T16:53:31.643Z</t>
  </si>
  <si>
    <t xml:space="preserve">Emetteur de Rayon (Paralysie)</t>
  </si>
  <si>
    <t xml:space="preserve">Ray Emitter (Paralysis)</t>
  </si>
  <si>
    <t xml:space="preserve">Permet à  l'utilisateur de projeter un rayon d'énergie jusqu'à  très longue portée qui paralyse la cible pendant une minute. Un petit nombre de ces dispositifs (5 %) induisent une paralysie qui dure une heure.</t>
  </si>
  <si>
    <t xml:space="preserve">2024-10-01T16:53:31.905Z</t>
  </si>
  <si>
    <t xml:space="preserve">Téléporteur (Voyageur)</t>
  </si>
  <si>
    <t xml:space="preserve">Teleporter (Traveler)</t>
  </si>
  <si>
    <t xml:space="preserve">L'utilisateur se téléporte jusqu'à  100 x le niveau du cypher en miles vers un endroit qu'il a déjà  visité ou vu. Il arrive en toute sécurité avec ses possessions, mais ne peut rien d'autre emporter avec lui.</t>
  </si>
  <si>
    <t xml:space="preserve">2024-10-01T16:53:30.974Z</t>
  </si>
  <si>
    <t xml:space="preserve">Vision Nocturne</t>
  </si>
  <si>
    <t xml:space="preserve">Darksight</t>
  </si>
  <si>
    <t xml:space="preserve">Confère la capacité de voir dans le noir pendant cinq heures par niveau du cypher. (Pour un jeu plus réaliste, ce cypher pourrait plutôt rendre l'utilisateur spécialisé dans la détection en faible luminosité.)</t>
  </si>
  <si>
    <t xml:space="preserve">2024-10-01T16:53:31.063Z</t>
  </si>
  <si>
    <t xml:space="preserve">Détonation (Perturbation de la Matière)</t>
  </si>
  <si>
    <t xml:space="preserve">Detonation (Matter Disruption)</t>
  </si>
  <si>
    <t xml:space="preserve">Projette un petit explosif physique jusqu'à  longue distance qui explose dans un rayon immédiat, libérant des nanites qui réarrangent la matière de manière aléatoire. Inflige des dégâts égaux au niveau du cypher.</t>
  </si>
  <si>
    <t xml:space="preserve">2024-10-01T16:53:30.851Z</t>
  </si>
  <si>
    <t xml:space="preserve">Antivenin</t>
  </si>
  <si>
    <t xml:space="preserve">Antivenom</t>
  </si>
  <si>
    <t xml:space="preserve">Rend l'utilisateur immunisé contre les poisons d'un niveau inférieur ou égal à  celui du cypher pendant une heure par niveau du cypher (et annule tout effet en cours déjà  présent dans le système de l'utilisateur).</t>
  </si>
  <si>
    <t xml:space="preserve">2024-10-01T16:53:31.257Z</t>
  </si>
  <si>
    <t xml:space="preserve">Bombe à  Gaz</t>
  </si>
  <si>
    <t xml:space="preserve">Gas Bomb</t>
  </si>
  <si>
    <t xml:space="preserve">Lancée à  courte distance, elle explose en un nuage empoisonné couvrant une zone immédiate. Le nuage persiste pendant 1d6 rounds, sauf si les conditions l'indiquent autrement. Lancez un d100 pour déterminer l'effet.</t>
  </si>
  <si>
    <t xml:space="preserve">&lt;table class="table table-light table-striped table-sm og-dt"&gt;
  &lt;thead&gt;
    &lt;tr&gt;
      &lt;th scope="col" class="text-center w-15"&gt;d100&lt;/th&gt;
      &lt;th&gt;Type de Gaz&lt;/th&gt;
    &lt;/tr&gt;
  &lt;/thead&gt;
  &lt;tbody&gt;
    &lt;tr&gt;
&lt;td scope="col" class="text-center w-15"&gt;01&amp;mdash;10&lt;/td&gt;
      &lt;td&gt;Fumée épaisse : occulte la vue tant que le nuage persiste&lt;/td&gt;
    &lt;/tr&gt;
    &lt;tr&gt;
&lt;td scope="col" class="text-center w-15"&gt;11&amp;mdash;20&lt;/td&gt;
      &lt;td&gt;Gaz d'étouffement : les créatures vivantes qui respirent perdent leurs actions à  cause de l'étouffement et de la toux pendant un nombre de rounds égal au niveau du cypher.&lt;/td&gt;
    &lt;/tr&gt;
    &lt;tr&gt;
&lt;td scope="col" class="text-center w-15"&gt;21&amp;mdash;50&lt;/td&gt;
      &lt;td&gt;Gaz empoisonné : les créatures vivantes qui respirent subissent des dégâts égaux au niveau du cypher.&lt;/td&gt;
    &lt;/tr&gt;
    &lt;tr&gt;
&lt;td scope="col" class="text-center w-15"&gt;51&amp;mdash;60&lt;/td&gt;
      &lt;td&gt;Gaz corrosif : tout subit des dégâts égaux au niveau du cypher.&lt;/td&gt;
    &lt;/tr&gt;
    &lt;tr&gt;
&lt;td scope="col" class="text-center w-15"&gt;61&amp;mdash;65&lt;/td&gt;
      &lt;td&gt;Gaz hallucinogène : les créatures vivantes qui respirent perdent leurs actions à  cause des hallucinations et visions pendant un nombre de rounds égal au niveau du cypher.&lt;/td&gt;
    &lt;/tr&gt;
    &lt;tr&gt;
&lt;td scope="col" class="text-center w-15"&gt;66&amp;mdash;70&lt;/td&gt;
      &lt;td&gt;Gaz neurotoxique : les créatures vivantes qui respirent subissent des dégâts en Célérité égaux au niveau du cypher.&lt;/td&gt;
    &lt;/tr&gt;
    &lt;tr&gt;
&lt;td scope="col" class="text-center w-15"&gt;71&amp;mdash;80&lt;/td&gt;
      &lt;td&gt;Gaz débilitant : les créatures vivantes qui respirent subissent des dégâts en Intellect égaux au niveau du cypher.&lt;/td&gt;
    &lt;/tr&gt;
    &lt;tr&gt;
&lt;td scope="col" class="text-center w-15"&gt;81&amp;mdash;83&lt;/td&gt;
      &lt;td&gt;Gaz de peur : les créatures vivantes qui respirent et pensent fuient dans une direction aléatoire de peur (ou sont paralysées par la peur) pendant un nombre de rounds égal au niveau du cypher.&lt;/td&gt;
    &lt;/tr&gt;
    &lt;tr&gt;
&lt;td scope="col" class="text-center w-15"&gt;84&amp;mdash;86&lt;/td&gt;
      &lt;td&gt;Gaz d'amnésie : les créatures vivantes qui respirent et pensent perdent définitivement toute mémoire de la dernière minute.&lt;/td&gt;
    &lt;/tr&gt;
    &lt;tr&gt;
&lt;td scope="col" class="text-center w-15"&gt;87&amp;mdash;96&lt;/td&gt;
      &lt;td&gt;Gaz soporifique : les créatures vivantes qui respirent s'endorment pendant un nombre de rounds égal au niveau du cypher ou jusqu'à  ce qu'elles soient réveillées par une action violente ou un bruit extràêmement fort.&lt;/td&gt;
    &lt;/tr&gt;
    &lt;tr&gt;
&lt;td scope="col" class="text-center w-15"&gt;97&amp;mdash;00&lt;/td&gt;
      &lt;td&gt;Gaz de rage : les créatures vivantes qui respirent et pensent attaquent au corps à  corps la créature la plus proche et continuent à  le faire pendant un nombre de rounds égal au niveau du cypher.&lt;/td&gt;
    &lt;/tr&gt;
  &lt;/tbody&gt;
&lt;/table&gt;</t>
  </si>
  <si>
    <t xml:space="preserve">2024-10-01T16:53:31.237Z</t>
  </si>
  <si>
    <t xml:space="preserve">Réducteur de Friction</t>
  </si>
  <si>
    <t xml:space="preserve">Friction Reducer</t>
  </si>
  <si>
    <t xml:space="preserve">Répandu sur une zone allant jusqu'à  3 m carrés (10 pieds carrés), cela rend les choses extràêmement glissantes. Pendant une heure par niveau du cypher, les tâches de mouvement dans la zone sont entravées de trois niveaux.</t>
  </si>
  <si>
    <t xml:space="preserve">2024-10-01T16:53:30.936Z</t>
  </si>
  <si>
    <t xml:space="preserve">Eliminateur de Conditions</t>
  </si>
  <si>
    <t xml:space="preserve">Condition Remover</t>
  </si>
  <si>
    <t xml:space="preserve">Guérit une occurrence d'une condition de santé spécifique d'un niveau inférieur ou égal à  celui du cypher. Cela n'empàêche pas de futures occurrences de la màême condition. Lancez un d20 pour déterminer ce que cela guérit.</t>
  </si>
  <si>
    <t xml:space="preserve">&lt;table class="table table-light table-striped table-sm og-dt"&gt;
  &lt;thead&gt;
    &lt;tr&gt;
      &lt;th&gt;d20&lt;/th&gt;
      &lt;th&gt;Condition&lt;/th&gt;
    &lt;/tr&gt;
  &lt;/thead&gt;
  &lt;tbody&gt;
    &lt;tr&gt;
&lt;td scope="col" class="text-center w-15"&gt;1&lt;/td&gt;
      &lt;td&gt;Addiction à  une substance&lt;/td&gt;
    &lt;/tr&gt;
    &lt;tr&gt;
&lt;td scope="col" class="text-center w-15"&gt;2&lt;/td&gt;
      &lt;td&gt;Maladie auto-immune&lt;/td&gt;
    &lt;/tr&gt;
    &lt;tr&gt;
&lt;td scope="col" class="text-center w-15"&gt;3&lt;/td&gt;
      &lt;td&gt;Infection bactérienne&lt;/td&gt;
    &lt;/tr&gt;
    &lt;tr&gt;
&lt;td scope="col" class="text-center w-15"&gt;4&lt;/td&gt;
      &lt;td&gt;Mauvaise haleine&lt;/td&gt;
    &lt;/tr&gt;
    &lt;tr&gt;
&lt;td scope="col" class="text-center w-15"&gt;5&lt;/td&gt;
      &lt;td&gt;Ampoules&lt;/td&gt;
    &lt;/tr&gt;
    &lt;tr&gt;
&lt;td scope="col" class="text-center w-15"&gt;6&lt;/td&gt;
      &lt;td&gt;Ballonnements&lt;/td&gt;
    &lt;/tr&gt;
    &lt;tr&gt;
&lt;td scope="col" class="text-center w-15"&gt;7&lt;/td&gt;
      &lt;td&gt;Cancer&lt;/td&gt;
    &lt;/tr&gt;
    &lt;tr&gt;
&lt;td scope="col" class="text-center w-15"&gt;8&lt;/td&gt;
      &lt;td&gt;Lèvres gercées&lt;/td&gt;
    &lt;/tr&gt;
    &lt;tr&gt;
&lt;td scope="col" class="text-center w-15"&gt;9&lt;/td&gt;
      &lt;td&gt;Flatulence&lt;/td&gt;
    &lt;/tr&gt;
    &lt;tr&gt;
&lt;td scope="col" class="text-center w-15"&gt;10&lt;/td&gt;
      &lt;td&gt;Gueule de bois&lt;/td&gt;
    &lt;/tr&gt;
    &lt;tr&gt;
&lt;td scope="col" class="text-center w-15"&gt;11&lt;/td&gt;
      &lt;td&gt;Brà»lures d'estomac&lt;/td&gt;
    &lt;/tr&gt;
    &lt;tr&gt;
&lt;td scope="col" class="text-center w-15"&gt;12&lt;/td&gt;
      &lt;td&gt;Hoquet&lt;/td&gt;
    &lt;/tr&gt;
    &lt;tr&gt;
&lt;td scope="col" class="text-center w-15"&gt;13&lt;/td&gt;
      &lt;td&gt;Poils incarnés&lt;/td&gt;
    &lt;/tr&gt;
    &lt;tr&gt;
&lt;td scope="col" class="text-center w-15"&gt;14&lt;/td&gt;
      &lt;td&gt;Insomnie&lt;/td&gt;
    &lt;/tr&gt;
    &lt;tr&gt;
&lt;td scope="col" class="text-center w-15"&gt;15&lt;/td&gt;
      &lt;td&gt;Problème articulaire&lt;/td&gt;
    &lt;/tr&gt;
    &lt;tr&gt;
&lt;td scope="col" class="text-center w-15"&gt;16&lt;/td&gt;
      &lt;td&gt;Crampes musculaires&lt;/td&gt;
    &lt;/tr&gt;
    &lt;tr&gt;
&lt;td scope="col" class="text-center w-15"&gt;17&lt;/td&gt;
      &lt;td&gt;Boutons&lt;/td&gt;
    &lt;/tr&gt;
    &lt;tr&gt;
&lt;td scope="col" class="text-center w-15"&gt;18&lt;/td&gt;
      &lt;td&gt;Psychose&lt;/td&gt;
    &lt;/tr&gt;
    &lt;tr&gt;
&lt;td scope="col" class="text-center w-15"&gt;19&lt;/td&gt;
      &lt;td&gt;Torticolis&lt;/td&gt;
    &lt;/tr&gt;
    &lt;tr&gt;
&lt;td scope="col" class="text-center w-15"&gt;20&lt;/td&gt;
      &lt;td&gt;Infection virale&lt;/td&gt;
    &lt;/tr&gt;
  &lt;/tbody&gt;
&lt;/table&gt;</t>
  </si>
  <si>
    <t xml:space="preserve">2024-10-01T16:53:30.922Z</t>
  </si>
  <si>
    <t xml:space="preserve">Usine Chimique</t>
  </si>
  <si>
    <t xml:space="preserve">Chemical Factory</t>
  </si>
  <si>
    <t xml:space="preserve">Après une heure, la sueur de l'utilisateur produit 1d6 doses d'un liquide précieux (ces doses ne sont pas considérées comme des cyphers). Elles doivent àêtre utilisées dans la semaine. Lancez un d100 pour déterminer l'effet.</t>
  </si>
  <si>
    <t xml:space="preserve">&lt;table class="table table-light table-striped table-sm og-dt"&gt;
  &lt;thead&gt;
    &lt;tr&gt;
      &lt;th scope="col" class="text-center w-15"&gt;d100&lt;/th&gt;
      &lt;th&gt;Effet du liquide&lt;/th&gt;
    &lt;/tr&gt;
  &lt;/thead&gt;
  &lt;tbody&gt;
    &lt;tr&gt;
&lt;td scope="col" class="text-center w-15"&gt;01&amp;mdash;04&lt;/td&gt;
      &lt;td&gt;Euphorique pendant 1d6 heures&lt;/td&gt;
    &lt;/tr&gt;
    &lt;tr&gt;
&lt;td scope="col" class="text-center w-15"&gt;05&amp;mdash;08&lt;/td&gt;
      &lt;td&gt;Hallucinogène pendant 1d6 heures&lt;/td&gt;
    &lt;/tr&gt;
    &lt;tr&gt;
&lt;td scope="col" class="text-center w-15"&gt;09&amp;mdash;12&lt;/td&gt;
      &lt;td&gt;Stimulant pendant 1d6 heures&lt;/td&gt;
    &lt;/tr&gt;
    &lt;tr&gt;
&lt;td scope="col" class="text-center w-15"&gt;13&amp;mdash;16&lt;/td&gt;
      &lt;td&gt;Dépresseur pendant 1d6 heures&lt;/td&gt;
    &lt;/tr&gt;
    &lt;tr&gt;
&lt;td scope="col" class="text-center w-15"&gt;17&amp;mdash;20&lt;/td&gt;
      &lt;td&gt;Supplément nutritionnel&lt;/td&gt;
    &lt;/tr&gt;
    &lt;tr&gt;
&lt;td scope="col" class="text-center w-15"&gt;21&amp;mdash;25&lt;/td&gt;
      &lt;td&gt;Antivenin&lt;/td&gt;
    &lt;/tr&gt;
    &lt;tr&gt;
&lt;td scope="col" class="text-center w-15"&gt;26&amp;mdash;30&lt;/td&gt;
      &lt;td&gt;Guérit une maladie&lt;/td&gt;
    &lt;/tr&gt;
    &lt;tr&gt;
&lt;td scope="col" class="text-center w-15"&gt;31&amp;mdash;35&lt;/td&gt;
      &lt;td&gt;Voir dans le noir pendant une heure&lt;/td&gt;
    &lt;/tr&gt;
    &lt;tr&gt;
&lt;td scope="col" class="text-center w-15"&gt;36&amp;mdash;45&lt;/td&gt;
      &lt;td&gt;Restaure un nombre de points de la Réserve de Puissance égal au niveau du cypher&lt;/td&gt;
    &lt;/tr&gt;
    &lt;tr&gt;
&lt;td scope="col" class="text-center w-15"&gt;46&amp;mdash;55&lt;/td&gt;
      &lt;td&gt;Restaure un nombre de points de la Réserve de Célérité égal au niveau du cypher&lt;/td&gt;
    &lt;/tr&gt;
    &lt;tr&gt;
&lt;td scope="col" class="text-center w-15"&gt;56&amp;mdash;65&lt;/td&gt;
      &lt;td&gt;Restaure un nombre de points de la Réserve d'Intellect égal au niveau du cypher&lt;/td&gt;
    &lt;/tr&gt;
    &lt;tr&gt;
&lt;td scope="col" class="text-center w-15"&gt;66&amp;mdash;75&lt;/td&gt;
      &lt;td&gt;Augmente l'Avantage de Puissance de 1 pendant une heure&lt;/td&gt;
    &lt;/tr&gt;
    &lt;tr&gt;
&lt;td scope="col" class="text-center w-15"&gt;76&amp;mdash;85&lt;/td&gt;
      &lt;td&gt;Augmente l'Avantage de Célérité de 1 pendant une heure&lt;/td&gt;
    &lt;/tr&gt;
    &lt;tr&gt;
&lt;td scope="col" class="text-center w-15"&gt;86&amp;mdash;95&lt;/td&gt;
      &lt;td&gt;Augmente l'Avantage d'Intellect de 1 pendant une heure&lt;/td&gt;
    &lt;/tr&gt;
    &lt;tr&gt;
&lt;td scope="col" class="text-center w-15"&gt;96&amp;mdash;00&lt;/td&gt;
      &lt;td&gt;Restaure toutes les Réserves au maximum&lt;/td&gt;
    &lt;/tr&gt;
  &lt;/tbody&gt;
&lt;/table&gt;</t>
  </si>
  <si>
    <t xml:space="preserve">2024-10-01T16:53:31.506Z</t>
  </si>
  <si>
    <t xml:space="preserve">Champ Nul</t>
  </si>
  <si>
    <t xml:space="preserve">Null Field</t>
  </si>
  <si>
    <t xml:space="preserve">L'utilisateur et toutes les créatures dans la portée immédiate gagnent +3 à  l'Armure (+5 si le cypher est de niveau 8 ou supérieur) contre des dégâts d'un type spécifié pendant une heure. Lancez un d100 pour déterminer l'effet.</t>
  </si>
  <si>
    <t xml:space="preserve">&lt;table class="table table-light table-striped table-sm og-dt"&gt;
  &lt;thead&gt;
    &lt;tr&gt;
      &lt;th scope="col" class="text-center w-15"&gt;d100&lt;/th&gt;
      &lt;th&gt;Effect&lt;/th&gt;
    &lt;/tr&gt;
  &lt;/thead&gt;
  &lt;tbody&gt;
    &lt;tr&gt;
&lt;td scope="col" class="text-center w-15"&gt;01&amp;mdash;12&lt;/td&gt;
      &lt;td&gt;Feu&lt;/td&gt;
    &lt;/tr&gt;
    &lt;tr&gt;
&lt;td scope="col" class="text-center w-15"&gt;13&amp;mdash;27&lt;/td&gt;
      &lt;td&gt;Froid&lt;/td&gt;
    &lt;/tr&gt;
    &lt;tr&gt;
&lt;td scope="col" class="text-center w-15"&gt;28&amp;mdash;39&lt;/td&gt;
      &lt;td&gt;Acide&lt;/td&gt;
    &lt;/tr&gt;
    &lt;tr&gt;
&lt;td scope="col" class="text-center w-15"&gt;40&amp;mdash;52&lt;/td&gt;
      &lt;td&gt;Psychique&lt;/td&gt;
    &lt;/tr&gt;
    &lt;tr&gt;
&lt;td scope="col" class="text-center w-15"&gt;53&amp;mdash;65&lt;/td&gt;
      &lt;td&gt;Sonique&lt;/td&gt;
    &lt;/tr&gt;
    &lt;tr&gt;
&lt;td scope="col" class="text-center w-15"&gt;66&amp;mdash;72&lt;/td&gt;
      &lt;td&gt;Electrique&lt;/td&gt;
    &lt;/tr&gt;
    &lt;tr&gt;
&lt;td scope="col" class="text-center w-15"&gt;73&amp;mdash;84&lt;/td&gt;
      &lt;td&gt;Poison&lt;/td&gt;
    &lt;/tr&gt;
    &lt;tr&gt;
&lt;td scope="col" class="text-center w-15"&gt;85&amp;mdash;95&lt;/td&gt;
      &lt;td&gt;Force contondante&lt;/td&gt;
    &lt;/tr&gt;
    &lt;tr&gt;
&lt;td scope="col" class="text-center w-15"&gt;96&amp;mdash;00&lt;/td&gt;
      &lt;td&gt;Tranchant et perà§ant&lt;/td&gt;
    &lt;/tr&gt;
  &lt;/tbody&gt;
&lt;/table&gt;</t>
  </si>
  <si>
    <t xml:space="preserve">2024-10-01T16:53:31.402Z</t>
  </si>
  <si>
    <t xml:space="preserve">Bouclier Magnétique</t>
  </si>
  <si>
    <t xml:space="preserve">Magnetic Shield</t>
  </si>
  <si>
    <t xml:space="preserve">Pendant dix minutes par niveau de cypher, les objets métalliques ne peuvent pas se trouver à  portée immédiate de l'utilisateur. Les objets métalliques déjà  dans la zone lorsque le dispositif est activé sont lentement repoussés.</t>
  </si>
  <si>
    <t xml:space="preserve">2024-10-01T16:53:31.197Z</t>
  </si>
  <si>
    <t xml:space="preserve">Mur Ignifuge</t>
  </si>
  <si>
    <t xml:space="preserve">Flame-Retardant Wall</t>
  </si>
  <si>
    <t xml:space="preserve">Crée un plan immobile d'énergie perméable mesurant jusqu'à  6 m par 6 m (20 pieds par 20 pieds) pendant une heure par niveau du cypher. Le plan se conforme à  l'espace disponible. Les flammes passant à  travers le plan sont éteintes.</t>
  </si>
  <si>
    <t xml:space="preserve">2024-10-01T16:53:30.992Z</t>
  </si>
  <si>
    <t xml:space="preserve">Densité</t>
  </si>
  <si>
    <t xml:space="preserve">Density</t>
  </si>
  <si>
    <t xml:space="preserve">Pendant la journée suivante, chaque fois que l'utilisateur frappe une créature ou un objet solide avec une arme, l'arme voit soudainement son poids augmenter de manière spectaculaire, ce qui inflige 2 points de dégâts supplémentaires.</t>
  </si>
  <si>
    <t xml:space="preserve">2024-10-01T16:53:31.978Z</t>
  </si>
  <si>
    <t xml:space="preserve">Dispositif de Déplacement Visuel</t>
  </si>
  <si>
    <t xml:space="preserve">Visual Displacement Device</t>
  </si>
  <si>
    <t xml:space="preserve">Projette des images holographiques de l'utilisateur pour tromper les attaquants. Les images apparaissent autour de l'utilisateur, lui offrant un Avantage pour les actions de Défense de Célérité pendant dix minutes par niveau de cypher.</t>
  </si>
  <si>
    <t xml:space="preserve">2024-10-01T16:53:31.469Z</t>
  </si>
  <si>
    <t xml:space="preserve">Fusion Mentale</t>
  </si>
  <si>
    <t xml:space="preserve">Mind Meld</t>
  </si>
  <si>
    <t xml:space="preserve">Permet à  l'utilisateur de parler télépathiquement avec des créatures qu'il peut voir à  portée courte pendant jusqu'à  une heure. L'utilisateur ne peut pas lire les pensées d'une cible, sauf celles qui sont spécifiquement "transmises".</t>
  </si>
  <si>
    <t xml:space="preserve">2024-10-01T16:53:32.038Z</t>
  </si>
  <si>
    <t xml:space="preserve">Champ de Point Zéro</t>
  </si>
  <si>
    <t xml:space="preserve">Zero Point Field</t>
  </si>
  <si>
    <t xml:space="preserve">Rend un objet inanimé à  l'extérieur des effets de la plupart des énergies pendant une minute. Cela signifie que l'objet ne peut pas àêtre endommagé, déplacé ou manipulé de quelque manière que ce soit. Il reste en place (màême en l'air).</t>
  </si>
  <si>
    <t xml:space="preserve">2024-10-01T16:53:31.994Z</t>
  </si>
  <si>
    <t xml:space="preserve">Chaleur</t>
  </si>
  <si>
    <t xml:space="preserve">Warmth</t>
  </si>
  <si>
    <t xml:space="preserve">Garde l'utilisateur au chaud et à  l'aise, màême dans les températures les plus froides, pendant vingt-quatre heures. Pendant ce temps, l'utilisateur bénéficie d'une Armure égale au niveau du cypher qui protège contre les dégâts de froid.</t>
  </si>
  <si>
    <t xml:space="preserve">2024-10-01T16:53:30.966Z</t>
  </si>
  <si>
    <t xml:space="preserve">Porteur de Malédiction</t>
  </si>
  <si>
    <t xml:space="preserve">Curse Bringer</t>
  </si>
  <si>
    <t xml:space="preserve">Le cypher peut àêtre activé lorsqu'il est donné à  une personne qui n'en connaît pas l'importance. La prochaine fois que la victime tente une tâche importante alors qu'elle est en possession du cypher, la tâche est entravée de trois crans.</t>
  </si>
  <si>
    <t xml:space="preserve">2024-10-01T16:53:31.667Z</t>
  </si>
  <si>
    <t xml:space="preserve">Amplificateur de Réflexes</t>
  </si>
  <si>
    <t xml:space="preserve">Reflex Enhancer</t>
  </si>
  <si>
    <t xml:space="preserve">Toutes les tâches impliquant de la dextérité manuelle - telles que le vol à  la tire, le crochetage, le jonglage, les opérations chirurgicales sur un patient, le désamorà§age d'une bombe, etc. - sont facilitées de deux niveaux pendant une heure.</t>
  </si>
  <si>
    <t xml:space="preserve">2024-10-01T16:53:31.386Z</t>
  </si>
  <si>
    <t xml:space="preserve">Foreuse d'Attaque Magnétique</t>
  </si>
  <si>
    <t xml:space="preserve">Magnetic Attack Drill</t>
  </si>
  <si>
    <t xml:space="preserve">L'utilisateur lance ce cypher sur une cible à  portée courte, et il s'enfonce dans la cible pendant un tour, infligeant des dégâts égaux au niveau du cypher. Si la cible est en métal ou porte du métal (comme une armure), l'attaque est facilitée.</t>
  </si>
  <si>
    <t xml:space="preserve">2024-10-01T16:53:31.247Z</t>
  </si>
  <si>
    <t xml:space="preserve">Mur Frigorifique</t>
  </si>
  <si>
    <t xml:space="preserve">Frigid Wall</t>
  </si>
  <si>
    <t xml:space="preserve">Crée un mur d'air super-refroidi mesurant jusqu'à  9 m par 9 m par 30 cm (30 pieds par 30 pieds par 1 pied) qui inflige des dégâts égaux au niveau du cypher à  tout ce qui le traverse. Le mur se conforme à  l'espace disponible et dure dix minutes.</t>
  </si>
  <si>
    <t xml:space="preserve">2024-10-01T16:53:31.307Z</t>
  </si>
  <si>
    <t xml:space="preserve">Mur Infernal</t>
  </si>
  <si>
    <t xml:space="preserve">Inferno Wall</t>
  </si>
  <si>
    <t xml:space="preserve">Crée un mur de chaleur extràême mesurant jusqu'à  30 pieds par 30 pieds par 1 pied (9 m par 9 m par 30 cm) qui inflige des dégâts égaux au niveau du cypher à  tout ce qui passe à  travers. Le mur s'adapte à  l'espace disponible. Il dure dix minutes.</t>
  </si>
  <si>
    <t xml:space="preserve">2024-10-01T16:53:31.135Z</t>
  </si>
  <si>
    <t xml:space="preserve">Oeil d'Aigle</t>
  </si>
  <si>
    <t xml:space="preserve">Eagleseye</t>
  </si>
  <si>
    <t xml:space="preserve">Donne la capacité de voir dix fois plus loin que la normale pendant une heure par niveau du cypher. (Pour un jeu plus réaliste, le cypher Å“il d'aigle pourrait à  la place accorder deux atouts pour les tâches impliquant la vision à  longue distance.)</t>
  </si>
  <si>
    <t xml:space="preserve">2024-10-01T16:53:31.459Z</t>
  </si>
  <si>
    <t xml:space="preserve">Mort Métallique</t>
  </si>
  <si>
    <t xml:space="preserve">Metal Death</t>
  </si>
  <si>
    <t xml:space="preserve">Produit un flux de mousse qui couvre une zone d'environ 3 pieds par 3 pieds (1 m par 1 m), transformant tout métal qu'elle touche en une substance aussi fragile que du verre fin. La mousse affecte le métal sur une profondeur d'environ 6 pouces (15 cm).</t>
  </si>
  <si>
    <t xml:space="preserve">2024-10-01T16:53:31.913Z</t>
  </si>
  <si>
    <t xml:space="preserve">Vision Temporelle</t>
  </si>
  <si>
    <t xml:space="preserve">Temporal Viewer</t>
  </si>
  <si>
    <t xml:space="preserve">Affiche des images et des sons animés, jusqu'à  dix minutes par niveau de cypher, représentant des événements qui se sont produits à  l'emplacement actuel jusqu'à  un an auparavant. L'utilisateur spécifie la période de temps montrée par le visualiseur.</t>
  </si>
  <si>
    <t xml:space="preserve">2024-10-01T16:53:31.928Z</t>
  </si>
  <si>
    <t xml:space="preserve">Dilatation Temporelle (Offensive)</t>
  </si>
  <si>
    <t xml:space="preserve">Time Dilation (Offensive)</t>
  </si>
  <si>
    <t xml:space="preserve">Pendant les vingt-quatre heures suivantes, lorsque l'utilisateur effectue une attaque au corps à  corps, il se déplace à  une vitesse presque instantanée, facilitant ses attaques de deux niveaux (trois niveaux si le cypher est de niveau 6 ou supérieur).</t>
  </si>
  <si>
    <t xml:space="preserve">2024-10-01T16:53:30.867Z</t>
  </si>
  <si>
    <t xml:space="preserve">Attracteur</t>
  </si>
  <si>
    <t xml:space="preserve">Attractor</t>
  </si>
  <si>
    <t xml:space="preserve">Un objet non ancré de la taille de l'utilisateur ou plus petit, situé à  longue portée (très longue portée si le niveau du cypher est de 8 ou plus), est immédiatement attiré vers l'utilisateur. Cela prend un tour. L'objet n'a aucun élan lorsqu'il arrive.</t>
  </si>
  <si>
    <t xml:space="preserve">2024-10-01T16:53:31.369Z</t>
  </si>
  <si>
    <t xml:space="preserve">Mur d'Eclairs</t>
  </si>
  <si>
    <t xml:space="preserve">Lightning Wall</t>
  </si>
  <si>
    <t xml:space="preserve">Crée un mur de décharges électriques mesurant jusqu'à  30 pieds par 30 pieds par 1 pied (9 m par 9 m par 30 cm) qui inflige des dégâts égaux au niveau du cypher à  tout ce qui passe à  travers. Le mur s'adapte à  l'espace disponible. Il dure dix minutes.</t>
  </si>
  <si>
    <t xml:space="preserve">2024-10-01T16:53:31.016Z</t>
  </si>
  <si>
    <t xml:space="preserve">Détonation (Desséchant)</t>
  </si>
  <si>
    <t xml:space="preserve">Detonation (Desiccating)</t>
  </si>
  <si>
    <t xml:space="preserve">Projette un petit explosif physique jusqu'à  longue distance qui éclate dans un rayon immédiat, drainant l'humidité de tout ce qui s'y trouve. Les créatures vivantes subissent des dégâts égaux au niveau du cypher. L'eau présente dans la zone est vaporisée.</t>
  </si>
  <si>
    <t xml:space="preserve">2024-10-01T16:53:31.176Z</t>
  </si>
  <si>
    <t xml:space="preserve">Cache d'Equipement</t>
  </si>
  <si>
    <t xml:space="preserve">Equipment Cache</t>
  </si>
  <si>
    <t xml:space="preserve">L'utilisateur peut fouiller dans le cypher et produire un équipement désiré (pas un artefact) dont le niveau ne dépasse pas celui du cypher. L'équipement persiste jusqu'à  une journée, sauf si sa nature fondamentale permet un usage unique (comme une grenade).</t>
  </si>
  <si>
    <t xml:space="preserve">2024-10-01T16:53:31.707Z</t>
  </si>
  <si>
    <t xml:space="preserve">Répéteur</t>
  </si>
  <si>
    <t xml:space="preserve">Repeater</t>
  </si>
  <si>
    <t xml:space="preserve">Pendant la minute suivante, l'arme à  distance de l'utilisateur tire une fois de plus avec des munitions fabriquées par le cypher. Le porteur de l'arme peut viser le tir supplémentaire sur la màême cible ou sur une cible différente à  proximité de la première.</t>
  </si>
  <si>
    <t xml:space="preserve">2024-10-01T16:53:31.861Z</t>
  </si>
  <si>
    <t xml:space="preserve">Amplificateur de Puissance</t>
  </si>
  <si>
    <t xml:space="preserve">Strength Enhancer</t>
  </si>
  <si>
    <t xml:space="preserve">Toutes les tâches non-combattantes impliquant de la force brute&amp;mdash;comme forcer une porte, soulever un lourd rocher, ouvrir des portes d'ascenseur, participer à  une compétition de haltérophilie, etc.&amp;mdash;sont facilitées de deux niveaux pendant une heure.</t>
  </si>
  <si>
    <t xml:space="preserve">2024-10-01T16:53:31.598Z</t>
  </si>
  <si>
    <t xml:space="preserve">Emetteur de Rayon (Commande)</t>
  </si>
  <si>
    <t xml:space="preserve">Ray Emitter (Command)</t>
  </si>
  <si>
    <t xml:space="preserve">Permet à  l'utilisateur de projeter un rayon jusqu'à  portée longue (très longue portée si le cypher est de niveau 6 ou supérieur) qui force une cible à  obéir à  la prochaine commande verbale donnée (si elle est comprise) pendant un round par niveau de cypher.</t>
  </si>
  <si>
    <t xml:space="preserve">2024-10-01T16:53:31.970Z</t>
  </si>
  <si>
    <t xml:space="preserve">Changeur de Visage</t>
  </si>
  <si>
    <t xml:space="preserve">Visage Changer</t>
  </si>
  <si>
    <t xml:space="preserve">Change l'apparence d'une créature de taille humaine, fournissant un Avantage pour les tâches de déguisement (facilitant ces tâches de deux niveaux si le cypher est de niveau 5 ou supérieur). Le changement prend dix minutes à  appliquer et dure vingt-quatre heures.</t>
  </si>
  <si>
    <t xml:space="preserve">2024-10-01T16:53:31.490Z</t>
  </si>
  <si>
    <t xml:space="preserve">Monolame</t>
  </si>
  <si>
    <t xml:space="preserve">Monoblade</t>
  </si>
  <si>
    <t xml:space="preserve">Produit une lame de 6 pouces (15 cm) qui est du màême niveau que le cypher. La lame coupe à  travers tout matériau de niveau inférieur au sien. Si utilisée comme arme, c'est une arme légère qui ignore l'Armure d'un niveau inférieur au sien. La lame dure dix minutes.</t>
  </si>
  <si>
    <t xml:space="preserve">2024-10-01T16:53:31.556Z</t>
  </si>
  <si>
    <t xml:space="preserve">Poison (Explosif)</t>
  </si>
  <si>
    <t xml:space="preserve">Poison (Explosive)</t>
  </si>
  <si>
    <t xml:space="preserve">Une fois que cette substance pénètre dans la circulation sanguine, elle se dirige vers le cerveau et se réorganise en un explosif qui explose lorsqu'il est activé, infligeant 10 points de dégâts (ignore l'Armure). Lancez un d100 pour déterminer ce qui active le poison.</t>
  </si>
  <si>
    <t xml:space="preserve">&lt;table class="table table-light table-striped table-sm og-dt"&gt;
  &lt;thead&gt;
    &lt;tr&gt;
      &lt;th scope="col" class="text-center w-15"&gt;d100&lt;/th&gt;
      &lt;th&gt;Activation&lt;/th&gt;
    &lt;/tr&gt;
  &lt;/thead&gt;
  &lt;tbody&gt;
    &lt;tr&gt;
&lt;td scope="col" class="text-center w-15"&gt;01&amp;mdash;25&lt;/td&gt;
      &lt;td&gt;Le détonateur est activé (doit àêtre à  portée longue).&lt;/td&gt;
    &lt;/tr&gt;
    &lt;tr&gt;
&lt;td scope="col" class="text-center w-15"&gt;26&amp;mdash;40&lt;/td&gt;
      &lt;td&gt;Un délai spécifié s'écoule.&lt;/td&gt;
    &lt;/tr&gt;
    &lt;tr&gt;
&lt;td scope="col" class="text-center w-15"&gt;41&amp;mdash;50&lt;/td&gt;
      &lt;td&gt;La victime effectue une action spécifique.&lt;/td&gt;
    &lt;/tr&gt;
    &lt;tr&gt;
&lt;td scope="col" class="text-center w-15"&gt;51&amp;mdash;55&lt;/td&gt;
      &lt;td&gt;Une note spécifique est chantée ou jouée sur un instrument à  portée courte.&lt;/td&gt;
    &lt;/tr&gt;
    &lt;tr&gt;
&lt;td scope="col" class="text-center w-15"&gt;56&amp;mdash;60&lt;/td&gt;
      &lt;td&gt;La victime sent une odeur spécifique dans la portée immédiate.&lt;/td&gt;
    &lt;/tr&gt;
    &lt;tr&gt;
&lt;td scope="col" class="text-center w-15"&gt;61&amp;mdash;80&lt;/td&gt;
      &lt;td&gt;La victime se rapproche à  portée longue du détonateur.&lt;/td&gt;
    &lt;/tr&gt;
    &lt;tr&gt;
&lt;td scope="col" class="text-center w-15"&gt;81&amp;mdash;00&lt;/td&gt;
      &lt;td&gt;La victime n'est plus à  portée longue du détonateur.&lt;/td&gt;
    &lt;/tr&gt;
  &lt;/tbody&gt;
&lt;/table&gt;</t>
  </si>
  <si>
    <t xml:space="preserve">2024-10-01T16:53:31.071Z</t>
  </si>
  <si>
    <t xml:space="preserve">Détonation (Pression)</t>
  </si>
  <si>
    <t xml:space="preserve">Detonation (Pressure)</t>
  </si>
  <si>
    <t xml:space="preserve">Projette un petit explosif physique jusqu'à  longue distance qui explose dans un rayon immédiat, infligeant des dégâts d'impact égaux au niveau du cypher. Déplace également les objets non surveillés hors de la zone s'ils pèsent moins de 20 livres (9 kg) par niveau du cypher.</t>
  </si>
  <si>
    <t xml:space="preserve">2024-10-01T16:53:31.264Z</t>
  </si>
  <si>
    <t xml:space="preserve">Nullificateur de Gravité</t>
  </si>
  <si>
    <t xml:space="preserve">Gravity Nullifier</t>
  </si>
  <si>
    <t xml:space="preserve">Pendant une heure, l'utilisateur peut flotter dans les airs, se déplaà§ant verticalement d'une courte distance par round (mais pas horizontalement sans une autre action, comme se pousser contre un plafond). L'utilisateur doit peser moins de 23 kg (50 livres) par niveau du cypher.</t>
  </si>
  <si>
    <t xml:space="preserve">2024-10-01T16:53:31.440Z</t>
  </si>
  <si>
    <t xml:space="preserve">Interrupteur de Mémoire</t>
  </si>
  <si>
    <t xml:space="preserve">Memory Switch</t>
  </si>
  <si>
    <t xml:space="preserve">L'utilisateur sélectionne un point à  portée longue, et les esprits de toutes les créatures pensantes dans la portée immédiate de ce point sont attaqués. Les victimes sont étourdies et ne prennent aucune action pendant un tour, et elles n'ont aucun souvenir de l'heure précédente.</t>
  </si>
  <si>
    <t xml:space="preserve">2024-10-01T16:53:31.835Z</t>
  </si>
  <si>
    <t xml:space="preserve">Gardien de Stase</t>
  </si>
  <si>
    <t xml:space="preserve">Stasis Keeper</t>
  </si>
  <si>
    <t xml:space="preserve">Met un sujet en stase pendant un nombre de jours égal au niveau du cypher, ou jusqu'à  ce qu'il soit violemment perturbé. Un objet en stase ne vieillit pas et sort de la stase vivant et dans le màême état que celui dans lequel il est entré, sans mémoire de la période d'inactivité.</t>
  </si>
  <si>
    <t xml:space="preserve">2024-10-01T16:53:30.840Z</t>
  </si>
  <si>
    <t xml:space="preserve">Preneur d'à‚ge</t>
  </si>
  <si>
    <t xml:space="preserve">Age Taker</t>
  </si>
  <si>
    <t xml:space="preserve">Commence un processus de rajeunissement qui enlève des années à  l'âge physiologique du porteur. Au cours des sept prochains jours, le porteur perd un nombre d'années égal à  trois fois le niveau du cypher. Le cypher ne ramène pas l'âge physiologique en dessous de vingt-trois ans.</t>
  </si>
  <si>
    <t xml:space="preserve">2024-10-01T16:53:31.683Z</t>
  </si>
  <si>
    <t xml:space="preserve">Souvenir</t>
  </si>
  <si>
    <t xml:space="preserve">Remembering</t>
  </si>
  <si>
    <t xml:space="preserve">Permet à  l'utilisateur de se souvenir de n'importe quelle expérience qu'il a déjà  vécue. L'expérience ne peut pas durer plus d'une minute par niveau de cypher, mais le rappel est parfait, donc (par exemple) s'il a vu quelqu'un composer un numéro de téléphone, il se souviendra du numéro.</t>
  </si>
  <si>
    <t xml:space="preserve">2024-10-01T16:53:31.183Z</t>
  </si>
  <si>
    <t xml:space="preserve">Farsight</t>
  </si>
  <si>
    <t xml:space="preserve">L'utilisateur peut observer un endroit qu'il a déjà  visité, peu importe la distance (màême à  travers des galaxies). Cette vision persiste pendant dix minutes par niveau du cypher. Le personnage peut alterner entre la vision de cet endroit et celle de son emplacement actuel une fois par round.</t>
  </si>
  <si>
    <t xml:space="preserve">2024-10-01T16:53:31.274Z</t>
  </si>
  <si>
    <t xml:space="preserve">Application Nullifiant la Gravité</t>
  </si>
  <si>
    <t xml:space="preserve">Gravity-Nullifying Application</t>
  </si>
  <si>
    <t xml:space="preserve">Si un objet non vivant ne dépassant pas la taille d'un humain (deux humains si le niveau du cypher est 6 ou plus) est recouvert par ce cypher, il flotte à  une hauteur de 1d20 pieds dans les airs de manière permanente et n'a plus de poids s'il est porté (bien qu'il doive àêtre solidement attaché).</t>
  </si>
  <si>
    <t xml:space="preserve">2024-10-01T16:53:31.722Z</t>
  </si>
  <si>
    <t xml:space="preserve">Rétaliation</t>
  </si>
  <si>
    <t xml:space="preserve">Retaliation</t>
  </si>
  <si>
    <t xml:space="preserve">Pendant le jour suivant, quiconque frappant l'utilisateur reà§oit une petite décharge d'électricité infligeant 1 point de dégâts (2 points si le cypher est de niveau 4 ou supérieur, 3 points si le cypher est de niveau 6 ou supérieur). Aucune action ou lancer n'est requis de la part de l'utilisateur.</t>
  </si>
  <si>
    <t xml:space="preserve">2024-10-01T16:53:31.500Z</t>
  </si>
  <si>
    <t xml:space="preserve">Capteur de Mouvement</t>
  </si>
  <si>
    <t xml:space="preserve">Motion Sensor</t>
  </si>
  <si>
    <t xml:space="preserve">Pendant une heure par niveau de cypher, l'utilisateur sait quand un mouvement se produit dans la portée courte, et lorsque de grandes créatures ou objets se déplacent dans la portée longue (le cypher distingue les deux). Il indique également le nombre et la taille des créatures ou objets en mouvement.</t>
  </si>
  <si>
    <t xml:space="preserve">2024-10-01T16:53:31.538Z</t>
  </si>
  <si>
    <t xml:space="preserve">Changeur de Phase</t>
  </si>
  <si>
    <t xml:space="preserve">Phase Changer</t>
  </si>
  <si>
    <t xml:space="preserve">Met l'utilisateur hors de phase pendant une minute (deux minutes si le cypher est de niveau 6 ou supérieur). Pendant ce temps, il peut traverser des objets solides comme s'ils étaient entièrement immatériels, comme un fantôme. Il ne peut pas effectuer d'attaques physiques ni àêtre attaqué physiquement.</t>
  </si>
  <si>
    <t xml:space="preserve">2024-10-01T16:53:31.783Z</t>
  </si>
  <si>
    <t xml:space="preserve">Module de Tireur d'Elite</t>
  </si>
  <si>
    <t xml:space="preserve">Sniper Module</t>
  </si>
  <si>
    <t xml:space="preserve">Pendant l'heure suivante par niveau de cypher, la portée effective de l'arme à  distance de l'utilisateur augmente d'une catégorie (immédiate à  courte, courte à  longue, longue à  très longue, très longue à  1 000 pieds (300m)). Une arme ayant une portée supérieure à  très longue voit sa portée doublée.</t>
  </si>
  <si>
    <t xml:space="preserve">2024-10-01T16:53:31.632Z</t>
  </si>
  <si>
    <t xml:space="preserve">Emetteur de Rayon (Engourdissement)</t>
  </si>
  <si>
    <t xml:space="preserve">Ray Emitter (Numbing)</t>
  </si>
  <si>
    <t xml:space="preserve">Permet à  l'utilisateur de projeter un rayon d'énergie jusqu'à  portée longue (très longue portée si le cypher est de niveau 6 ou supérieur) qui engourdit un membre de la cible, le rendant inutile pendant une minute. Un petit nombre de ces dispositifs (5 %) induisent un engourdissement qui dure une heure.</t>
  </si>
  <si>
    <t xml:space="preserve">2024-10-01T16:53:31.738Z</t>
  </si>
  <si>
    <t xml:space="preserve">Brillance</t>
  </si>
  <si>
    <t xml:space="preserve">Sheen</t>
  </si>
  <si>
    <t xml:space="preserve">For one week, the user's cells are coated with a protective veneer that resists damage (+1 à  l'Armure, or +2 à  l'Armure if the cypher is level 5 or higher) and eases Défense de Puissance rolls by two steps. However, healing is more difficult during this time; all recovery rolls suffer a &amp;mdash;1 penalty.</t>
  </si>
  <si>
    <t xml:space="preserve">2024-10-01T16:53:31.009Z</t>
  </si>
  <si>
    <t xml:space="preserve">Détonation (Créature)</t>
  </si>
  <si>
    <t xml:space="preserve">Detonation (Creature)</t>
  </si>
  <si>
    <t xml:space="preserve">Projette un petit explosif physique jusqu'à  longue distance qui explose et crée un portail de téléportation temporaire. Une créature aléatoire dont le niveau est inférieur ou égal à  celui du cypher apparaît à  travers le portail et attaque la cible la plus proche. Au bout d'environ une minute, la créature disparaît.</t>
  </si>
  <si>
    <t xml:space="preserve">2024-10-01T16:53:30.984Z</t>
  </si>
  <si>
    <t xml:space="preserve">Porteur de Mort</t>
  </si>
  <si>
    <t xml:space="preserve">Death Bringer</t>
  </si>
  <si>
    <t xml:space="preserve">Pendant la prochaine minute, lorsque l'utilisateur frappe un PNJ ou une créature d'un niveau égal ou inférieur à  celui du cypher, il peut choisir de faire un second jet d'attaque. Si ce second jet d'attaque est une réussite, la cible est tuée. Si la cible est un PJ, le personnage descend d'un cran sur la piste de dégâts.</t>
  </si>
  <si>
    <t xml:space="preserve">2024-10-01T16:53:31.477Z</t>
  </si>
  <si>
    <t xml:space="preserve">Mur de Restriction Mentale</t>
  </si>
  <si>
    <t xml:space="preserve">Mind-Restricting Wall</t>
  </si>
  <si>
    <t xml:space="preserve">Crée un plan immobile d'énergie perméable mesurant jusqu'à  20 pieds par 20 pieds (6 m par 6 m) pendant une heure. Le plan s'adapte à  l'espace disponible. Les créatures intelligentes passant à  travers le plan s'évanouissent pendant jusqu'à  une heure, ou jusqu'à  ce qu'elles soient giflées pour se réveiller ou endommagées.</t>
  </si>
  <si>
    <t xml:space="preserve">2024-10-01T16:53:31.921Z</t>
  </si>
  <si>
    <t xml:space="preserve">Dilatation Temporelle (Défensive)</t>
  </si>
  <si>
    <t xml:space="preserve">Time Dilation (Defensive)</t>
  </si>
  <si>
    <t xml:space="preserve">Pendant les vingt-quatre heures suivantes, lorsque l'utilisateur est attaqué, il se déplace par des sauts rapides, apparemment aléatoires, de quelques centimètres d'un côté ou de l'autre. Cela constitue un Avantage qui modifie les jets de défense de l'utilisateur de deux niveaux (trois niveaux si le cypher est de niveau 6 ou supérieur).</t>
  </si>
  <si>
    <t xml:space="preserve">2024-10-01T16:53:31.033Z</t>
  </si>
  <si>
    <t xml:space="preserve">Détonation (Gravité)</t>
  </si>
  <si>
    <t xml:space="preserve">Detonation (Gravity)</t>
  </si>
  <si>
    <t xml:space="preserve">ProjetteDetonation (Gravity) un petit explosif physique jusqu'à  longue distance qui éclate dans un rayon immédiat, infligeant des dégâts égaux au niveau du cypher en augmentant fortement la gravité pendant une seconde. Toutes les créatures dans la zone sont écrasées au sol pendant un tour et ne peuvent pas effectuer d'actions physiques.</t>
  </si>
  <si>
    <t xml:space="preserve">2024-10-01T16:53:31.299Z</t>
  </si>
  <si>
    <t xml:space="preserve">Projecteur d'Image</t>
  </si>
  <si>
    <t xml:space="preserve">Image Projector</t>
  </si>
  <si>
    <t xml:space="preserve">Projette l'une des images immobiles suivantes dans la zone décrite pendant une heure. L'image apparaît à  une distance proche de l'utilisateur (longue distance si le niveau du cypher est 4 ou plus, très longue distance si le niveau du cypher est 6 ou plus). Les scènes incluent mouvement, son et odeur. Lancez un d100 pour déterminer l'image.</t>
  </si>
  <si>
    <t xml:space="preserve">&lt;table class="table table-light table-striped table-sm og-dt"&gt;
  &lt;thead&gt;
    &lt;tr&gt;
      &lt;th scope="col" class="text-center w-15"&gt;d100&lt;/th&gt;
      &lt;th&gt;Projection&lt;/th&gt;
    &lt;/tr&gt;
  &lt;/thead&gt;
  &lt;tbody&gt;
    &lt;tr&gt;
&lt;td scope="col" class="text-center w-15"&gt;01&amp;mdash;20&lt;/td&gt;
      &lt;td&gt;Créature terrifiante d'une espèce inconnue, peut-àêtre plus vivante dans le monde (cube de 10 pieds [3 m])&lt;/td&gt;
    &lt;/tr&gt;
    &lt;tr&gt;
&lt;td scope="col" class="text-center w-15"&gt;21&amp;mdash;40&lt;/td&gt;
      &lt;td&gt;Machine énorme qui obstrue la vue (cube de 30 pieds [9 m])&lt;/td&gt;
    &lt;/tr&gt;
    &lt;tr&gt;
&lt;td scope="col" class="text-center w-15"&gt;41&amp;mdash;50&lt;/td&gt;
      &lt;td&gt;Belle scène pastorale (cube de 50 pieds [15 m])&lt;/td&gt;
    &lt;/tr&gt;
    &lt;tr&gt;
&lt;td scope="col" class="text-center w-15"&gt;51&amp;mdash;60&lt;/td&gt;
      &lt;td&gt;Nourriture qui semble délicieuse mais peut ne pas àêtre familière (cube de 10 pieds [3 m])&lt;/td&gt;
    &lt;/tr&gt;
    &lt;tr&gt;
&lt;td scope="col" class="text-center w-15"&gt;61&amp;mdash;80&lt;/td&gt;
      &lt;td&gt;Couleur unie qui obstrue la vue (cube de 50 pieds [15 m])&lt;/td&gt;
    &lt;/tr&gt;
    &lt;tr&gt;
&lt;td scope="col" class="text-center w-15"&gt;81&amp;mdash;00&lt;/td&gt;
      &lt;td&gt;Scène incompréhensible qui est désorientante et étrange (cube de 20 pieds [6 m])&lt;/td&gt;
    &lt;/tr&gt;
  &lt;/tbody&gt;
&lt;/table&gt;</t>
  </si>
  <si>
    <t xml:space="preserve">2024-10-01T16:53:31.099Z</t>
  </si>
  <si>
    <t xml:space="preserve">Détonation (Toile)</t>
  </si>
  <si>
    <t xml:space="preserve">Detonation (Web)</t>
  </si>
  <si>
    <t xml:space="preserve">Projette un petit explosif physique jusqu'à  longue distance qui explose dans un rayon immédiat et crée des filaments collants. Les PJ pris dans la zone doivent réussir une action basée sur la Puissance pour s'en sortir, avec une difficulté déterminée par le niveau du cypher. Les PNJ se libèrent si leur niveau est supérieur à  celui du cypher.</t>
  </si>
  <si>
    <t xml:space="preserve">2024-10-01T16:53:31.949Z</t>
  </si>
  <si>
    <t xml:space="preserve">Intégrateur de Tours</t>
  </si>
  <si>
    <t xml:space="preserve">Trick Embedder</t>
  </si>
  <si>
    <t xml:space="preserve">Un animal non intelligent apprend immédiatement et parfaitement un tour (deux tours si le cypher est de niveau 4 ou supérieur) qu'il est capable d'exécuter physiquement (rouler, rester au pied, tourner, serrer la main, se rendre à  un endroit indiqué dans un rayon de longue portée, etc.). Le tour doit àêtre désigné lorsque le cypher est activé.</t>
  </si>
  <si>
    <t xml:space="preserve">2024-10-01T16:53:31.162Z</t>
  </si>
  <si>
    <t xml:space="preserve">Amplificateur d'Effort (Non-combat)</t>
  </si>
  <si>
    <t xml:space="preserve">Effort Enhancer (Noncombat)</t>
  </si>
  <si>
    <t xml:space="preserve">Pour l'heure suivante, l'utilisateur peut appliquer un niveau gratuit d'Effort à  une tâche non-combat sans dépenser de points de Réserve. Le niveau d'Effort fourni par ce cypher ne compte pas dans le maximum d'Effort qu'un personnage peut normalement appliquer à  une tâche. Une fois ce niveau gratuit d'Effort utilisé, l'effet du cypher prend fin.</t>
  </si>
  <si>
    <t xml:space="preserve">2024-10-01T16:53:31.523Z</t>
  </si>
  <si>
    <t xml:space="preserve">Mémoire Parfaite</t>
  </si>
  <si>
    <t xml:space="preserve">Perfect Memory</t>
  </si>
  <si>
    <t xml:space="preserve">Permet à  l'utilisateur d'enregistrer mentalement tout ce qu'il voit pendant trente secondes par niveau de cypher et de stocker cet enregistrement de manière permanente dans sa mémoire à  long terme. Ce cypher est utile pour observer quelqu'un ouvrir une serrure spécifique, entrer un code complexe ou faire quelque chose d'autre qui se produit rapidement.</t>
  </si>
  <si>
    <t xml:space="preserve">2024-10-01T16:53:31.942Z</t>
  </si>
  <si>
    <t xml:space="preserve">Traceur</t>
  </si>
  <si>
    <t xml:space="preserve">Tracer</t>
  </si>
  <si>
    <t xml:space="preserve">Tire un traceur microscopique qui s'accroche à  toute surface dans un rayon de courte portée. Pendant les vingt-quatre heures suivantes, le lanceur indique la distance et la direction vers le traceur, tant qu'il est à  moins de 1 mile (100 miles si le cypher est de niveau 3 ou supérieur, dans la màême dimension si le cypher est de niveau 6 ou supérieur).</t>
  </si>
  <si>
    <t xml:space="preserve">2024-10-01T16:53:31.542Z</t>
  </si>
  <si>
    <t xml:space="preserve">Disrupteur de Phase</t>
  </si>
  <si>
    <t xml:space="preserve">Phase Disruptor</t>
  </si>
  <si>
    <t xml:space="preserve">Met une partie d'une structure physique (comme un mur ou un sol) hors de phase pendant une heure. Cela affecte une zone égale à  un cube de 5 pieds (1,5 m) par niveau de cypher. Pendant que la zone est hors de phase, les créatures et les objets peuvent y passer comme si elle n'existait pas, bien qu'on ne puisse pas voir à  travers, et cela bloque la lumière.</t>
  </si>
  <si>
    <t xml:space="preserve">2024-10-01T16:53:30.952Z</t>
  </si>
  <si>
    <t xml:space="preserve">Clignotement Contrôlé</t>
  </si>
  <si>
    <t xml:space="preserve">Controlled Blinking</t>
  </si>
  <si>
    <t xml:space="preserve">Pendant la journée suivante, chaque fois que l'utilisateur est frappé suffisamment fort pour subir des dégâts (mais pas plus d'une fois par tour), il se téléporte à  un endroit de son choix à  portée immédiate. Comme il est préparé à  cet effet et que son adversaire ne l'est pas, les défenses de l'utilisateur sont facilitées pendant un tour après la téléportation.</t>
  </si>
  <si>
    <t xml:space="preserve">2024-10-01T16:53:31.121Z</t>
  </si>
  <si>
    <t xml:space="preserve">Perturbation</t>
  </si>
  <si>
    <t xml:space="preserve">Disrupting</t>
  </si>
  <si>
    <t xml:space="preserve">Pour la prochaine journée, chaque fois que l'utilisateur frappe une créature solide ou un objet, l'attaque génère une explosion de nanites qui attaquent directement ses cellules organiques. La cible subit 1 point de dégât supplémentaire. Si le niveau de la cible est inférieur à  celui du cypher, elle perd sa prochaine action ; sinon, sa prochaine action est entravée.</t>
  </si>
  <si>
    <t xml:space="preserve">2024-10-01T16:53:31.495Z</t>
  </si>
  <si>
    <t xml:space="preserve">Monocorne</t>
  </si>
  <si>
    <t xml:space="preserve">Monohorn</t>
  </si>
  <si>
    <t xml:space="preserve">L'utilisateur gagne une corne au centre de son front. La corne est mortellement tranchante et robuste, et elle s'enroule jusqu'à  une base solide oà¹ elle fusionne avec sa chair et son os. L'utilisateur est spécialisé dans les attaques au corps à  corps avec la corne, qui est considérée comme une arme moyenne. La corne dure un nombre d'heures égal au niveau du cypher.</t>
  </si>
  <si>
    <t xml:space="preserve">2024-10-01T16:53:31.203Z</t>
  </si>
  <si>
    <t xml:space="preserve">Cube de Force</t>
  </si>
  <si>
    <t xml:space="preserve">Force Cube</t>
  </si>
  <si>
    <t xml:space="preserve">Crée un cube immobile composé de six plans de force solide, chacun mesurant 9 m (30 pieds) de côté, pendant une heure. Les plans se conforment à  l'espace disponible. (Bien que les murs d'un cube de force ne soient pas perméables à  l'air, il y a probablement suffisamment d'air à  l'intérieur pour que les créatures piégées puissent respirer pendant l'heure que dure l'effet.)</t>
  </si>
  <si>
    <t xml:space="preserve">2024-10-01T16:53:31.330Z</t>
  </si>
  <si>
    <t xml:space="preserve">Serviteur Instantané</t>
  </si>
  <si>
    <t xml:space="preserve">Instant Servant</t>
  </si>
  <si>
    <t xml:space="preserve">Petit appareil s'étend en un automate humanoà¯de d'environ 2 pieds (60 cm) de haut. Son niveau est égal au niveau du cypher, et il peut comprendre les commandes verbales du personnage qui l'a activé. Une fois le serviteur activé, le commandement n'est pas une action. Il peut attaquer ou effectuer des actions comme ordonné au mieux de ses capacités, mais il ne peut pas parler.</t>
  </si>
  <si>
    <t xml:space="preserve">2024-10-01T16:53:31.745Z</t>
  </si>
  <si>
    <t xml:space="preserve">Attaque Electrique</t>
  </si>
  <si>
    <t xml:space="preserve">Shock Attack</t>
  </si>
  <si>
    <t xml:space="preserve">Pendant une semaine, les cellules de l'utilisateur sont recouvertes d'un vernis protecteur qui résiste aux dégâts (+1 à  l'Armure, ou +2 à  l'Armure si le cypher est de niveau 5 ou supérieur) et facilite les lancers de défense de Puissance de deux niveaux. Cependant, la guérison est plus difficile pendant cette période ; tous les lancers de récupération subissent un malus de -1.</t>
  </si>
  <si>
    <t xml:space="preserve">2024-10-01T16:53:31.355Z</t>
  </si>
  <si>
    <t xml:space="preserve">Amélioration de l'Intelligence</t>
  </si>
  <si>
    <t xml:space="preserve">Intelligence Enhancement</t>
  </si>
  <si>
    <t xml:space="preserve">Toutes les tâches de l'utilisateur impliquant des déductions intelligentes&amp;mdash;comme jouer aux échecs, inférer une connexion entre des indices, résoudre un problème mathématique, trouver un bogue dans le code informatique, et ainsi de suite&amp;mdash;sont facilitées de deux étapes pendant une heure. Au cours de l'heure suivante, la tension entrave les màêmes tâches de deux étapes.</t>
  </si>
  <si>
    <t xml:space="preserve">2024-10-01T16:53:31.814Z</t>
  </si>
  <si>
    <t xml:space="preserve">Distorsion Spatiale</t>
  </si>
  <si>
    <t xml:space="preserve">Spatial Warp</t>
  </si>
  <si>
    <t xml:space="preserve">Lorsqu'il est fixé à  un dispositif qui affecte une cible unique à  distance, cette distance est augmentée à  1 mile (1,5 km) sans pénalités. L'espace est temporairement déformé en termes de visibilité et d'atteinte de la cible. Si la ligne de vue directe est importante pour l'effet du dispositif, elle reste importante. La distorsion spatiale dure 10 minutes par niveau de cypher.</t>
  </si>
  <si>
    <t xml:space="preserve">2024-10-01T16:53:31.288Z</t>
  </si>
  <si>
    <t xml:space="preserve">Chasseur/Traqueur</t>
  </si>
  <si>
    <t xml:space="preserve">Hunter/Seeker</t>
  </si>
  <si>
    <t xml:space="preserve">Avec un mouvement à  longue portée, ce missile intelligent suit et attaque une cible spécifiée (la cible doit àêtre à  la vue lors de la sélection). S'il rate, il continue d'attaquer une fois supplémentaire par niveau de cypher jusqu'à  ce qu'il touche. Par exemple, un chasseur/traqueur de niveau 4 attaquera un maximum de cinq fois. Lancez un d100 pour déterminer le type d'attaque.</t>
  </si>
  <si>
    <t xml:space="preserve">&lt;table class="table table-light table-striped table-sm og-dt"&gt;
  &lt;thead&gt;
    &lt;tr&gt;
      &lt;th scope="col" class="text-center w-15"&gt;d100&lt;/th&gt;
      &lt;th&gt;Effet du Missile&lt;/th&gt;
    &lt;/tr&gt;
  &lt;/thead&gt;
  &lt;tbody&gt;
    &lt;tr&gt;
&lt;td scope="col" class="text-center w-15"&gt;01&amp;mdash;50&lt;/td&gt;
      &lt;td&gt;Inflige 8 points de dégâts.&lt;/td&gt;
    &lt;/tr&gt;
    &lt;tr&gt;
&lt;td scope="col" class="text-center w-15"&gt;51&amp;mdash;80&lt;/td&gt;
      &lt;td&gt;Porte une aiguille empoisonnée qui inflige 3 points de dégâts plus du poison.&lt;/td&gt;
    &lt;/tr&gt;
    &lt;tr&gt;
&lt;td scope="col" class="text-center w-15"&gt;81&amp;mdash;90&lt;/td&gt;
      &lt;td&gt;Explose, infligeant 6 points de dégâts à  tous ceux dans la portée immédiate.&lt;/td&gt;
    &lt;/tr&gt;
    &lt;tr&gt;
&lt;td scope="col" class="text-center w-15"&gt;91&amp;mdash;95&lt;/td&gt;
      &lt;td&gt;Electrocute pour 4 points de dégâts électriques, et étourdit pendant un tour par niveau de cypher.&lt;/td&gt;
    &lt;/tr&gt;
    &lt;tr&gt;
&lt;td scope="col" class="text-center w-15"&gt;96&amp;mdash;00&lt;/td&gt;
      &lt;td&gt;Recouvre la cible d'une substance collante qui durcit immédiatement, les retenant jusqu'à  ce qu'ils se libèrent avec une action de Puissance (difficulté égale au niveau du cypher + 2).&lt;/td&gt;
    &lt;/tr&gt;
  &lt;/tbody&gt;
&lt;/table&gt;</t>
  </si>
  <si>
    <t xml:space="preserve">2024-10-01T16:53:31.152Z</t>
  </si>
  <si>
    <t xml:space="preserve">Amplificateur d'Effort (Combat)</t>
  </si>
  <si>
    <t xml:space="preserve">Effort Enhancer (Combat)</t>
  </si>
  <si>
    <t xml:space="preserve">Pour l'heure suivante, l'utilisateur peut appliquer un niveau gratuit d'Effort à  n'importe quelle tâche (y compris une tâche de combat) sans dépenser de points de Réserve. Le niveau gratuit d'Effort fourni par ce cypher ne compte pas dans le maximum d'Effort qu'un personnage peut normalement appliquer à  une tâche. Une fois ce niveau gratuit d'Effort utilisé, l'effet du cypher prend fin.</t>
  </si>
  <si>
    <t xml:space="preserve">2024-10-01T16:53:31.079Z</t>
  </si>
  <si>
    <t xml:space="preserve">Détonation (Singularité)</t>
  </si>
  <si>
    <t xml:space="preserve">Detonation (Singularity)</t>
  </si>
  <si>
    <t xml:space="preserve">Projette un petit explosif physique jusqu'à  longue distance qui explose et crée une singularité momentanée qui déchire le tissu de l'univers. Inflige 20 points de dégâts à  tous ceux dans un rayon court, les attirant (ou leurs restes) vers un rayon immédiat (si possible). Les personnages joueurs dans le rayon qui échouent à  un jet de défense en Puissance descendent d'un cran sur la piste de dégâts.</t>
  </si>
  <si>
    <t xml:space="preserve">2024-10-01T16:53:31.321Z</t>
  </si>
  <si>
    <t xml:space="preserve">Capteur d'Information</t>
  </si>
  <si>
    <t xml:space="preserve">Information Sensor</t>
  </si>
  <si>
    <t xml:space="preserve">Au cours d'une journée, l'utilisateur peut activer le cypher un nombre total de fois égal à  son niveau. Chaque fois, il peut sélectionner une créature vivante dans un long rayon et apprendre les informations suivantes à  son sujet : niveau, origine, espèce, nom, et possiblement d'autres faits (comme le score de crédit d'un individu, son adresse, son numéro de téléphone et des informations connexes).</t>
  </si>
  <si>
    <t xml:space="preserve">2024-10-01T16:53:31.395Z</t>
  </si>
  <si>
    <t xml:space="preserve">Maître Magnétique</t>
  </si>
  <si>
    <t xml:space="preserve">Magnetic Master</t>
  </si>
  <si>
    <t xml:space="preserve">Etablit une connexion avec un objet métallique à  portée courte qu'un humain pourrait tenir d'une main. L'utilisateur peut ensuite déplacer ou manipuler l'objet n'importe oà¹ dans la portée courte (chaque mouvement ou manipulation est une action). Par exemple, il pourrait manier une arme ou tirer un casque fixé à  la tàête d'un ennemi d'avant en arrière. La connexion dure dix tours par niveau de cypher.</t>
  </si>
  <si>
    <t xml:space="preserve">2024-10-01T16:53:32.001Z</t>
  </si>
  <si>
    <t xml:space="preserve">Adaptateur Aquatique</t>
  </si>
  <si>
    <t xml:space="preserve">Water Adapter</t>
  </si>
  <si>
    <t xml:space="preserve">L'utilisateur peut respirer sous l'eau et opérer à  n'importe quelle profondeur (sans subir les conséquences débilitantes des changements de pression) pendant quatre heures par niveau de cypher. Ce cypher peut également àêtre utilisé dans l'atmosphère normale, permettant à  l'utilisateur d'ignorer les effets néfastes d'une pression atmosphérique très basse ou très élevée. Le cypher ne protège pas contre le vide.</t>
  </si>
  <si>
    <t xml:space="preserve">2024-10-01T16:53:31.337Z</t>
  </si>
  <si>
    <t xml:space="preserve">Abri Instantané</t>
  </si>
  <si>
    <t xml:space="preserve">Instant Shelter</t>
  </si>
  <si>
    <t xml:space="preserve">Avec l'ajout d'eau et d'air, ce cypher s'étend en une simple structure d'une pièce avec une porte et une fenàêtre transparente (deux pièces avec une porte intérieure si le niveau du cypher est 7 ou plus). La structure mesure 10 pieds par 10 pieds par 20 pieds (3 m par 3 m par 6 m). Elle est fabriquée à  partir d'un matériau durable et non inflammable similaire au grès, et est permanente et immobile une fois créée.</t>
  </si>
  <si>
    <t xml:space="preserve">2024-10-01T16:53:30.898Z</t>
  </si>
  <si>
    <t xml:space="preserve">Clignotement</t>
  </si>
  <si>
    <t xml:space="preserve">Blinking</t>
  </si>
  <si>
    <t xml:space="preserve">Pendant la journée suivante, chaque fois que l'utilisateur est frappé suffisamment fort pour subir des dégâts (mais pas plus d'une fois par tour), il se téléporte à  une distance immédiate dans une direction aléatoire (ni vers le haut ni vers le bas). Comme l'utilisateur est préparé à  cet effet et que son adversaire ne l'est pas, les défenses de l'utilisateur sont facilitées pendant un tour après la téléportation.</t>
  </si>
  <si>
    <t xml:space="preserve">2024-10-01T16:53:31.699Z</t>
  </si>
  <si>
    <t xml:space="preserve">Unité de Réparation</t>
  </si>
  <si>
    <t xml:space="preserve">Repair Unit</t>
  </si>
  <si>
    <t xml:space="preserve">Le cypher devient une sphère multi-bras qui flotte. Il répare un objet désigné (de son propre niveau ou inférieur) qui a été endommagé mais pas détruit. L'unité de réparation peut également créer des pièces de rechange, sauf si La Meneuse décide que les pièces sont trop spécialisées ou rares (dans ce cas, l'unité répare le dispositif, sauf pour la pièce spécialisée). Le temps de réparation est de 1d100 + 20 minutes.</t>
  </si>
  <si>
    <t xml:space="preserve">2024-10-01T16:53:31.956Z</t>
  </si>
  <si>
    <t xml:space="preserve">Source d'Energie Ininterruptible</t>
  </si>
  <si>
    <t xml:space="preserve">Fournit de l'énergie à  un autre dispositif pendant jusqu'à  un jour. Le dispositif à  alimenter peut àêtre aussi simple qu'une source lumineuse ou aussi complexe qu'un petit vaisseau spatial, à  condition que le niveau du cypher soit égal aux exigences en énergie de l'objet. Une lampe de bureau nécessite un niveau de 1, un moteur de voiture nécessite un niveau de 5, et un vaisseau spatial nécessite un niveau de 10.</t>
  </si>
  <si>
    <t xml:space="preserve">2024-10-01T16:53:30.890Z</t>
  </si>
  <si>
    <t xml:space="preserve">Blackout</t>
  </si>
  <si>
    <t xml:space="preserve">Une zone à  portée immédiate de l'utilisateur devient sécurisée contre tout effet extérieur à  la zone qui tenterait de voir, d'entendre ou de percevoir ce qui se passe à  l'intérieur. Pour les observateurs extérieurs, la zone apparaît comme un "flou" pour tout sens appliqué. Les écoutes, capteurs de divination et autres méthodes de surveillance directe sont également rendus inopérants dans la zone pendant une journée.</t>
  </si>
  <si>
    <t xml:space="preserve">2024-10-01T16:53:30.875Z</t>
  </si>
  <si>
    <t xml:space="preserve">Bannissement</t>
  </si>
  <si>
    <t xml:space="preserve">Banishing</t>
  </si>
  <si>
    <t xml:space="preserve">Pendant la journée suivante, chaque fois que l'utilisateur frappe une créature ou un objet solide, cela génère une décharge d'énergie qui téléporte la créature ou l'objet à  une distance immédiate dans une direction aléatoire (ni vers le haut ni vers le bas). Les actions de la créature téléportée (y compris la défense) sont entravées à  son prochain tour (entravées de deux crans si le niveau du cypher est de 5 ou plus).</t>
  </si>
  <si>
    <t xml:space="preserve">2024-10-01T16:53:30.929Z</t>
  </si>
  <si>
    <t xml:space="preserve">Compréhension</t>
  </si>
  <si>
    <t xml:space="preserve">Comprehension</t>
  </si>
  <si>
    <t xml:space="preserve">En cinq minutes, l'utilisateur peut comprendre les mots d'une langue spécifique liée au cypher (deux langues si le cypher est de niveau 5 ou plus). Cela est vrai màême pour les créatures qui ne possèdent normalement pas de langage. Si l'utilisateur comprenait déjà  la langue, le cypher n'a aucun effet. Une fois utilisé, l'effet est permanent et le cypher ne compte plus dans la limite de cyphers qu'un personnage peut porter.</t>
  </si>
  <si>
    <t xml:space="preserve">2024-10-01T16:53:31.421Z</t>
  </si>
  <si>
    <t xml:space="preserve">Rayon de Transfert de Matière</t>
  </si>
  <si>
    <t xml:space="preserve">Matter Transference Ray</t>
  </si>
  <si>
    <t xml:space="preserve">L'utilisateur peut cibler un objet non vivant à  longue portée qui est de sa taille ou plus petit, de niveau de cypher égal ou inférieur. L'objet est transféré directement à  un emplacement aléatoire situé à  au moins 100 miles (160 km) de distance. Si La Meneuse estime que cela est approprié aux circonstances, seule une partie d'un objet est transférée (une partie dont le volume n'est pas supérieur à  celui de l'utilisateur).</t>
  </si>
  <si>
    <t xml:space="preserve">2024-10-01T16:53:31.934Z</t>
  </si>
  <si>
    <t xml:space="preserve">Régénération des Tissus</t>
  </si>
  <si>
    <t xml:space="preserve">Tissue Regeneration</t>
  </si>
  <si>
    <t xml:space="preserve">Pendant la prochaine heure, l'utilisateur regagne 1 point perdu à  cause de dégâts par round, jusqu'à  un total de points égal au double du niveau du cypher. à€ chaque point regagné, il choisit à  quelle Réserve l'ajouter. Si toutes ses Réserves sont à  leur maximum, la régénération fait une pause jusqu'à  ce qu'il subisse d'autres dégâts, moment auquel elle recommence (s'il reste du temps dans l'heure) jusqu'à  l'expiration de la durée.</t>
  </si>
  <si>
    <t xml:space="preserve">Un cypher de régénération des tissus peut àêtre utilisé pour régénérer un membre perdu (un bras, un pied, une jambe, etc.) ou pour réparer des cicatrices dues à  des brà»lures et d'autres déformations liées aux tissus. Si le cypher est utilisé de cette manière, il ne restaure qu'1d6 points pendant la durée d'une heure.Un cypher de régénération des tissus peut àêtre utilisé pour régénérer un membre perdu (un bras, un pied, une jambe, etc.) ou pour réparer des cicatrices dues à  des brà»lures et d'autres déformations liées aux tissus. Si le cypher est utilisé de cette manière, il ne restaure qu'1d6 points pendant la durée d'une heure.</t>
  </si>
  <si>
    <t xml:space="preserve">2024-10-01T16:53:31.379Z</t>
  </si>
  <si>
    <t xml:space="preserve">Contrôle de Machine</t>
  </si>
  <si>
    <t xml:space="preserve">Machine Control</t>
  </si>
  <si>
    <t xml:space="preserve">Se divise en deux morceaux ; l'un est fixé à  un appareil et l'autre à  un personnage. Le personnage peut alors utiliser son esprit pour contrôler l'appareil à  longue portée, lui ordonnant de faire tout ce qu'il pourrait faire normalement. Ainsi, un appareil pourrait àêtre activé ou désactivé, et un véhicule pourrait àêtre piloté. Le contrôle dure dix minutes par niveau de cypher, et une fois l'appareil choisi, il ne peut pas àêtre changé.</t>
  </si>
  <si>
    <t xml:space="preserve">2024-10-01T16:53:31.532Z</t>
  </si>
  <si>
    <t xml:space="preserve">Champ d'Environnement Personnel</t>
  </si>
  <si>
    <t xml:space="preserve">Personal Environment Field</t>
  </si>
  <si>
    <t xml:space="preserve">Crée une aura de température et d'atmosphère qui soutiendra un humain en toute sécurité pendant un jour. L'aura s'étend sur 1 pied (30 cm) autour de l'utilisateur (doublez ce rayon si le cypher est de niveau 7 ou supérieur). Il ne protège pas contre des changements de température soudains (comme ceux d'un rayon thermique). Un petit nombre de ces cyphers (1 %) s'adaptent à  l'environnement préféré d'une créature non humaine et non terrestre.</t>
  </si>
  <si>
    <t xml:space="preserve">2024-10-01T16:53:31.114Z</t>
  </si>
  <si>
    <t xml:space="preserve">Module de Déguisement</t>
  </si>
  <si>
    <t xml:space="preserve">Disguise Module</t>
  </si>
  <si>
    <t xml:space="preserve">Pendant les dix minutes suivantes par niveau du cypher, les traits de l'utilisateur deviennent presque identiques à  ceux d'une personne désignée avec laquelle il a déjà  interagi, facilitant de deux crans les tentatives de se faire passer pour cette personne. Une fois désignée, l'utilisateur ne peut plus modifier l'effet pour ressembler à  une autre personne, bien qu'il puisse retirer le module pour retrouver son apparence avant la fin de la durée.</t>
  </si>
  <si>
    <t xml:space="preserve">2024-10-01T16:53:31.963Z</t>
  </si>
  <si>
    <t xml:space="preserve">Disparition</t>
  </si>
  <si>
    <t xml:space="preserve">Vanisher</t>
  </si>
  <si>
    <t xml:space="preserve">L'utilisateur devient invisible pendant cinq minutes par niveau de cypher, pendant lesquelles il est spécialisé dans les tâches de furtivité et de Défense de Célérité. Cet effet prend fin s'il fait quelque chose pour révéler sa présence ou sa position&amp;mdash;attaquer, utiliser une capacité, déplacer un gros objet, etc. Si cela se produit, il peut récupérer l'effet d'invisibilité restant en prenant une action pour se concentrer sur le fait de cacher sa position.</t>
  </si>
  <si>
    <t xml:space="preserve">2024-10-01T16:53:31.093Z</t>
  </si>
  <si>
    <t xml:space="preserve">Détonation (Prolifération)</t>
  </si>
  <si>
    <t xml:space="preserve">Detonation (Spawn)</t>
  </si>
  <si>
    <t xml:space="preserve">Projette un petit explosif physique jusqu'à  longue distance qui éclate dans un rayon immédiat, aveuglant tous ceux qui s'y trouvent pendant une minute et infligeant des dégâts égaux au niveau du cypher. L'explosion génère 1d6 détonations supplémentaires ; au tour suivant, chaque nouvelle détonation se dirige vers un endroit aléatoire dans un rayon court et explose dans un rayon immédiat. Lancez un d100 pour déterminer le type de dégâts infligés par toutes les détonations :</t>
  </si>
  <si>
    <t xml:space="preserve">2024-10-01T16:53:31.450Z</t>
  </si>
  <si>
    <t xml:space="preserve">Brouilleur Mental</t>
  </si>
  <si>
    <t xml:space="preserve">Mental Scrambler</t>
  </si>
  <si>
    <t xml:space="preserve">Deux rounds après son activation, le dispositif crée un champ invisible qui remplit une zone à  portée courte et dure une minute. Le champ brouille les processus mentaux de toutes les créatures pensantes. L'effet dure tant qu'elles restent dans le champ et pendant 1d6 rounds après, bien qu'un jet de défense d'Intellect soit permis chaque tour pour agir normalement (dans le champ et après l'avoir quitté). Chaque brouilleur mental est associé à  un effet spécifique. Lancez un d100 pour déterminer l'effet.</t>
  </si>
  <si>
    <t xml:space="preserve">&lt;table class="table table-light table-striped table-sm og-dt"&gt;
  &lt;thead&gt;
    &lt;tr&gt;
      &lt;th scope="col" class="text-center w-15"&gt;d100&lt;/th&gt;
      &lt;th&gt;Effet&lt;/th&gt;
    &lt;/tr&gt;
  &lt;/thead&gt;
  &lt;tbody&gt;
    &lt;tr&gt;
&lt;td scope="col" class="text-center w-15"&gt;01&amp;mdash;30&lt;/td&gt;
      &lt;td&gt;Les victimes ne peuvent pas agir.&lt;/td&gt;
    &lt;/tr&gt;
    &lt;tr&gt;
&lt;td scope="col" class="text-center w-15"&gt;31&amp;mdash;40&lt;/td&gt;
      &lt;td&gt;Les victimes ne peuvent pas parler.&lt;/td&gt;
    &lt;/tr&gt;
    &lt;tr&gt;
&lt;td scope="col" class="text-center w-15"&gt;41&amp;mdash;50&lt;/td&gt;
      &lt;td&gt;Les victimes se déplacent lentement (portée immédiate) et de manière maladroite.&lt;/td&gt;
    &lt;/tr&gt;
    &lt;tr&gt;
&lt;td scope="col" class="text-center w-15"&gt;51&amp;mdash;60&lt;/td&gt;
      &lt;td&gt;Les victimes ne peuvent ni voir ni entendre.&lt;/td&gt;
    &lt;/tr&gt;
    &lt;tr&gt;
&lt;td scope="col" class="text-center w-15"&gt;61&amp;mdash;70&lt;/td&gt;
      &lt;td&gt;Les victimes perdent tout sens de la direction, de la profondeur et de la proportion.&lt;/td&gt;
    &lt;/tr&gt;
    &lt;tr&gt;
&lt;td scope="col" class="text-center w-15"&gt;71&amp;mdash;80&lt;/td&gt;
      &lt;td&gt;Les victimes ne reconnaissent personne qu'elles connaissent.&lt;/td&gt;
    &lt;/tr&gt;
    &lt;tr&gt;
&lt;td scope="col" class="text-center w-15"&gt;81&amp;mdash;88&lt;/td&gt;
      &lt;td&gt;Les victimes souffrent d'amnésie partielle.&lt;/td&gt;
    &lt;/tr&gt;
    &lt;tr&gt;
&lt;td scope="col" class="text-center w-15"&gt;89&amp;mdash;94&lt;/td&gt;
      &lt;td&gt;Les victimes souffrent d'amnésie totale.&lt;/td&gt;
    &lt;/tr&gt;
    &lt;tr&gt;
&lt;td scope="col" class="text-center w-15"&gt;95&amp;mdash;98&lt;/td&gt;
      &lt;td&gt;Les victimes perdent toutes inhibitions, révélant des secrets et effectuant des actions surprenantes.&lt;/td&gt;
    &lt;/tr&gt;
    &lt;tr&gt;
&lt;td scope="col" class="text-center w-15"&gt;99&amp;mdash;00&lt;/td&gt;
      &lt;td&gt;L'éthique des victimes est inversée.&lt;/td&gt;
    &lt;/tr&gt;
  &lt;/tbody&gt;
&lt;/table&gt;</t>
  </si>
  <si>
    <t xml:space="preserve">2024-10-01T16:53:31.761Z</t>
  </si>
  <si>
    <t xml:space="preserve">Amélioration de Compétence</t>
  </si>
  <si>
    <t xml:space="preserve">Skill Boost</t>
  </si>
  <si>
    <t xml:space="preserve">Modifie de manière spectaculaire mais temporaire l'esprit et le corps de l'utilisateur afin qu'il puisse faciliter un type spécifique d'action physique de trois niveaux. Une fois activée, cette amélioration peut àêtre utilisée un nombre de fois égal au niveau du cypher, mais seulement dans un délai de vingt-quatre heures. L'amélioration prend effet chaque fois que l'action est réalisée. Par exemple, un cypher de niveau 3 améliore les trois premières fois que cette action est tentée. Lancez un d100 pour déterminer l'action.</t>
  </si>
  <si>
    <t xml:space="preserve">&lt;table class="table table-light table-striped table-sm og-dt"&gt;
  &lt;thead&gt;
    &lt;tr&gt;
      &lt;th scope="col" class="text-center w-15"&gt;d100&lt;/th&gt;
      &lt;th&gt;Action&lt;/th&gt;
    &lt;/tr&gt;
  &lt;/thead&gt;
  &lt;tbody&gt;
    &lt;tr&gt;
&lt;td scope="col" class="text-center w-15"&gt;01&amp;mdash;15&lt;/td&gt;
      &lt;td&gt;Attaque au corps à  corps&lt;/td&gt;
    &lt;/tr&gt;
    &lt;tr&gt;
&lt;td scope="col" class="text-center w-15"&gt;16&amp;mdash;30&lt;/td&gt;
      &lt;td&gt;Attaque à  distance&lt;/td&gt;
    &lt;/tr&gt;
    &lt;tr&gt;
&lt;td scope="col" class="text-center w-15"&gt;31&amp;mdash;40&lt;/td&gt;
      &lt;td&gt;Défense de Célérité&lt;/td&gt;
    &lt;/tr&gt;
    &lt;tr&gt;
&lt;td scope="col" class="text-center w-15"&gt;41&amp;mdash;50&lt;/td&gt;
      &lt;td&gt;Défense de Puissance&lt;/td&gt;
    &lt;/tr&gt;
    &lt;tr&gt;
&lt;td scope="col" class="text-center w-15"&gt;51&amp;mdash;60&lt;/td&gt;
      &lt;td&gt;Défense d'Intellect&lt;/td&gt;
    &lt;/tr&gt;
    &lt;tr&gt;
&lt;td scope="col" class="text-center w-15"&gt;61&amp;mdash;68&lt;/td&gt;
      &lt;td&gt;Saut&lt;/td&gt;
    &lt;/tr&gt;
    &lt;tr&gt;
&lt;td scope="col" class="text-center w-15"&gt;69&amp;mdash;76&lt;/td&gt;
      &lt;td&gt;Escalade&lt;/td&gt;
    &lt;/tr&gt;
    &lt;tr&gt;
&lt;td scope="col" class="text-center w-15"&gt;77&amp;mdash;84&lt;/td&gt;
      &lt;td&gt;Course&lt;/td&gt;
    &lt;/tr&gt;
    &lt;tr&gt;
&lt;td scope="col" class="text-center w-15"&gt;85&amp;mdash;92&lt;/td&gt;
      &lt;td&gt;Natation&lt;/td&gt;
    &lt;/tr&gt;
    &lt;tr&gt;
&lt;td scope="col" class="text-center w-15"&gt;93&amp;mdash;94&lt;/td&gt;
      &lt;td&gt;Furtivité&lt;/td&gt;
    &lt;/tr&gt;
    &lt;tr&gt;
&lt;td scope="col" class="text-center w-15"&gt;95&amp;mdash;96&lt;/td&gt;
      &lt;td&gt;Equilibre&lt;/td&gt;
    &lt;/tr&gt;
    &lt;tr&gt;
&lt;td scope="col" class="text-center w-15"&gt;97&amp;mdash;98&lt;/td&gt;
      &lt;td&gt;Perception&lt;/td&gt;
    &lt;/tr&gt;
    &lt;tr&gt;
&lt;td scope="col" class="text-center w-15"&gt;99&lt;/td&gt;
      &lt;td&gt;Portage&lt;/td&gt;
    &lt;/tr&gt;
    &lt;tr&gt;
&lt;td scope="col" class="text-center w-15"&gt;00&lt;/td&gt;
      &lt;td&gt;Evasion&lt;/td&gt;
    &lt;/tr&gt;
  &lt;/tbody&gt;
&lt;/table&gt;</t>
  </si>
  <si>
    <t xml:space="preserve">2024-10-01T16:53:31.868Z</t>
  </si>
  <si>
    <t xml:space="preserve">Champ de Subjugation</t>
  </si>
  <si>
    <t xml:space="preserve">Subdual Field</t>
  </si>
  <si>
    <t xml:space="preserve">Deux rounds après son activation, le dispositif crée un champ invisible qui remplit une zone spécifiée (comme un cube d'une courte distance) dans un rayon de longue portée. Le champ dure une minute. Il affecte les esprits des àêtres pensants à  l'intérieur du champ, les empàêchant de prendre des actions hostiles. L'effet dure tant qu'ils restent dans le champ et pendant 1d6 rounds après, bien qu'un jet de Défense d'Intellect soit autorisé chaque round pour agir normalement (à  la fois dans le champ et après l'avoir quitté).</t>
  </si>
  <si>
    <t xml:space="preserve">2024-10-01T16:53:31.768Z</t>
  </si>
  <si>
    <t xml:space="preserve">Fabricant d'Esclaves</t>
  </si>
  <si>
    <t xml:space="preserve">Slave Maker</t>
  </si>
  <si>
    <t xml:space="preserve">Pour activer le cypher, l'utilisateur doit réussir une attaque au corps à  corps contre une créature de taille comparable à  la sienne et dont le niveau ne dépasse pas celui du cypher. Le cypher se lie à  la cible, qui devient immédiatement calme. La cible attend les commandes de l'utilisateur et exécute tous les ordres du mieux qu'elle peut. La cible reste ainsi asservie pendant un nombre d'heures égal au niveau du cypher moins le niveau de la cible. (Si le résultat est 0, la cible est asservie pendant seulement une minute.)</t>
  </si>
  <si>
    <t xml:space="preserve">2024-10-01T16:53:31.314Z</t>
  </si>
  <si>
    <t xml:space="preserve">Infiltrator</t>
  </si>
  <si>
    <t xml:space="preserve">Une petite capsule se lance et se déplace à  grande Célérité, cartographiant et scannant une zone inconnue. Elle se déplace de 500 pieds (150 m) par niveau, scannant une zone jusqu'à  50 pieds (15 m) à  partir de sa position. Elle identifie la disposition de base, les créatures et les principales sources d'énergie et transmet cette information à  l'utilisateur (peut-àêtre par télépathie ou signal électronique) ou revient à  l'utilisateur pour montrer ce qu'elle a vu. Son mouvement est bloqué par tout obstacle physique ou énergétique.</t>
  </si>
  <si>
    <t xml:space="preserve">2024-10-01T16:53:31.729Z</t>
  </si>
  <si>
    <t xml:space="preserve">Secret</t>
  </si>
  <si>
    <t xml:space="preserve">L'utilisateur peut poser une question au MJ et obtenir une réponse générale. Le MJ attribue un niveau à  la question, donc plus la réponse est obscure, plus la tâche est difficile. En général, les connaissances qu'un PJ pourrait trouver en cherchant ailleurs que dans son emplacement actuel sont de niveau 1, et les connaissances obscures du passé sont de niveau 7. Acquérir des connaissances sur l'avenir est de niveau 10, et ces connaissances sont toujours sujettes à  interprétation. Le cypher ne peut pas fournir de réponse à  une question supérieure à  son niveau.</t>
  </si>
  <si>
    <t xml:space="preserve">2024-10-01T16:53:31.362Z</t>
  </si>
  <si>
    <t xml:space="preserve">Amélioration de la Connaissance</t>
  </si>
  <si>
    <t xml:space="preserve">Knowledge Enhancement</t>
  </si>
  <si>
    <t xml:space="preserve">Pour la journée suivante, le personnage reà§oit un entraînement dans une compétence prédéterminée (ou deux compétences si le cypher est de niveau 5 ou plus). La compétence peut àêtre n'importe quoi (y compris quelque chose de spécifique au fonctionnement d'un appareil particulier), ou lancez un d100 pour choisir une compétence commune. (Il est facile de devenir dépendant de l'adrénaline rapide de l'entraînement qu'apportent les cyphers d'amélioration de la connaissance. Les personnages qui s'y fient trop souvent peuvent se retrouver désavantagés lorsqu'ils en manquent, offrant une grande opportunité pour une intrusion du MJ.)</t>
  </si>
  <si>
    <t xml:space="preserve">&lt;table class="table table-light table-striped table-sm og-dt"&gt;
  &lt;thead&gt;
    &lt;tr&gt;
      &lt;th scope="col" class="text-center w-15"&gt;d100&lt;/th&gt;
      &lt;th&gt;Connaissance&lt;/th&gt;
    &lt;/tr&gt;
  &lt;/thead&gt;
  &lt;tbody&gt;
    &lt;tr&gt;
&lt;td scope="col" class="text-center w-15"&gt;01&amp;mdash;10&lt;/td&gt;
      &lt;td&gt;Attaques au corps à  corps&lt;/td&gt;
    &lt;/tr&gt;
    &lt;tr&gt;
&lt;td scope="col" class="text-center w-15"&gt;11&amp;mdash;20&lt;/td&gt;
      &lt;td&gt;Attaques à  distance&lt;/td&gt;
    &lt;/tr&gt;
    &lt;tr&gt;
&lt;td scope="col" class="text-center w-15"&gt;21&amp;mdash;40&lt;/td&gt;
      &lt;td&gt;Un type de savoir académique ou ésotérique (biologie, histoire, magie, etc.)&lt;/td&gt;
    &lt;/tr&gt;
    &lt;tr&gt;
&lt;td scope="col" class="text-center w-15"&gt;41&amp;mdash;50&lt;/td&gt;
      &lt;td&gt;Réparation (parfois spécifique à  un appareil)&lt;/td&gt;
    &lt;/tr&gt;
    &lt;tr&gt;
&lt;td scope="col" class="text-center w-15"&gt;51&amp;mdash;60&lt;/td&gt;
      &lt;td&gt;Artisanat (généralement spécifique à  une chose)&lt;/td&gt;
    &lt;/tr&gt;
    &lt;tr&gt;
&lt;td scope="col" class="text-center w-15"&gt;61&amp;mdash;70&lt;/td&gt;
      &lt;td&gt;Persuasion&lt;/td&gt;
    &lt;/tr&gt;
    &lt;tr&gt;
&lt;td scope="col" class="text-center w-15"&gt;71&amp;mdash;75&lt;/td&gt;
      &lt;td&gt;Soins&lt;/td&gt;
    &lt;/tr&gt;
    &lt;tr&gt;
&lt;td scope="col" class="text-center w-15"&gt;76&amp;mdash;80&lt;/td&gt;
      &lt;td&gt;Défense de Célérité&lt;/td&gt;
    &lt;/tr&gt;
    &lt;tr&gt;
&lt;td scope="col" class="text-center w-15"&gt;81&amp;mdash;85&lt;/td&gt;
      &lt;td&gt;Défense d'Intellect&lt;/td&gt;
    &lt;/tr&gt;
    &lt;tr&gt;
&lt;td scope="col" class="text-center w-15"&gt;86&amp;mdash;90&lt;/td&gt;
      &lt;td&gt;Natation&lt;/td&gt;
    &lt;/tr&gt;
    &lt;tr&gt;
&lt;td scope="col" class="text-center w-15"&gt;91&amp;mdash;95&lt;/td&gt;
      &lt;td&gt;Equitation&lt;/td&gt;
    &lt;/tr&gt;
    &lt;tr&gt;
&lt;td scope="col" class="text-center w-15"&gt;96&amp;mdash;00&lt;/td&gt;
      &lt;td&gt;Furtivité&lt;/td&gt;
    &lt;/tr&gt;
  &lt;/tbody&gt;
&lt;/table&gt;</t>
  </si>
  <si>
    <t xml:space="preserve">2024-10-01T16:53:31.143Z</t>
  </si>
  <si>
    <t xml:space="preserve">Résistance aux Effets</t>
  </si>
  <si>
    <t xml:space="preserve">Effect Resistance</t>
  </si>
  <si>
    <t xml:space="preserve">Fournit une chance de résistance supplémentaire aux effets directement dommageables de toutes sortes, tels que le feu, la foudre, etc., pendant une journée. (Cela ne fournit pas de résistance contre les attaques contondantes, tranchantes ou perforantes.) Si le niveau de l'effet est inférieur ou égal à  celui du cypher, l'utilisateur obtient un jet de défense supplémentaire pour l'éviter. En cas de réussite, l'attaque est traitée comme si l'utilisateur avait réussi son jet de défense habituel. (Si l'utilisateur est un PNJ, un PJ qui l'attaque avec ce genre d'effet doit réussir deux jets d'attaque pour lui infliger des dégâts.)</t>
  </si>
  <si>
    <t xml:space="preserve">2024-10-01T16:53:30.945Z</t>
  </si>
  <si>
    <t xml:space="preserve">Activateur Contingent</t>
  </si>
  <si>
    <t xml:space="preserve">Contingent Activator</t>
  </si>
  <si>
    <t xml:space="preserve">Si l'appareil est activé conjointement avec un autre cypher, l'utilisateur peut spécifier une condition sous laquelle le cypher lié s'activera. Le cypher lié conserve la commande conditionnelle jusqu'à  son utilisation (soit normalement, soit conditionnellement). Par exemple, si ce cypher est lié à  un cypher qui offre une forme de guérison ou de protection, l'utilisateur pourrait spécifier que le cypher lié s'activera s'il subit des dégâts d'une certaine gravité ou s'il est exposé à  une situation dangereuse particulière. Tant que le cypher lié n'est pas utilisé, ce cypher continue de compter dans le nombre maximum de cyphers qu'un personnage peut porter.</t>
  </si>
  <si>
    <t xml:space="preserve">2024-10-01T16:53:31.412Z</t>
  </si>
  <si>
    <t xml:space="preserve">Faisceau de Manipulation</t>
  </si>
  <si>
    <t xml:space="preserve">Manipulation Beam</t>
  </si>
  <si>
    <t xml:space="preserve">Au cours d'une journée, l'utilisateur peut activer le cypher un nombre total de fois égal à  son niveau. Chaque fois, il peut affecter un objet qu'il peut voir à  longue portée qui n'est pas trop lourd pour lui à  manipuler physiquement. L'effet doit se produire au cours d'un tour et pourrait inclure la fermeture ou l'ouverture d'une porte, la saisie d'un numéro sur un clavier, le transfert d'un objet sur une courte distance, le fait de retirer un objet des mains d'une autre créature (avec un jet réussi basé sur la Puissance), ou de pousser une créature sur une distance immédiate. (Un faisceau de manipulation pourrait àêtre utilisé pour faire fonctionner un ordinateur à  distance, ce qui faciliterait certaines missions d'infiltration et de piratage.)</t>
  </si>
  <si>
    <t xml:space="preserve">2024-10-01T16:53:31.827Z</t>
  </si>
  <si>
    <t xml:space="preserve">Espion</t>
  </si>
  <si>
    <t xml:space="preserve">Spy</t>
  </si>
  <si>
    <t xml:space="preserve">Produit un petit objet d'espionnage qui résiste à  la détection comme une créature de niveau 8. L'objet se déplace à  grande vitesse, cartographiant et scannant une zone inconnue. Il se déplace de 500 pieds (150 m) par niveau, scannant une zone jusqu'à  50 pieds (15 m) autour de lui. Il identifie la disposition de base, les créatures et les principales sources d'énergie. Son mouvement est bloqué par toute barrière physique ou énergétique. à€ la fin de son parcours de cartographie, il revient à  l'utilisateur et fait un rapport. S'il découvre une cible prédéfinie durant son parcours (comme "une créature de niveau 5 ou supérieur", "une porte verrouillée", "une source d'énergie majeure", etc.), il explose à  la place, infligeant des dégâts égaux au niveau du cypher (moitié de dégâts électriques, moitié de dégâts d'éclats) à  toutes les créatures et objets à  portée courte.</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</si>
</sst>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fantasycypherrs" displayName="fantasycypherrs" ref="A1:G194" headerRowCount="1" totalsRowCount="0" totalsRowShown="0">
  <autoFilter ref="A1:G194"/>
  <tableColumns count="7">
    <tableColumn id="1" name="Fantasy Name"/>
    <tableColumn id="2" name="Nom en Fantasy"/>
    <tableColumn id="3" name="Cypher Name"/>
    <tableColumn id="4" name="CSR Page"/>
    <tableColumn id="5" name="Nom du Cypher"/>
    <tableColumn id="6" name="Niveau"/>
    <tableColumn id="7" name="Effet"/>
  </tableColumns>
</table>
</file>

<file path=xl/tables/table2.xml><?xml version="1.0" encoding="utf-8"?>
<table xmlns="http://schemas.openxmlformats.org/spreadsheetml/2006/main" id="2" name="Table1" displayName="Table1" ref="A1:O155" headerRowCount="1" totalsRowCount="0" totalsRowShown="0">
  <autoFilter ref="A1:O155">
    <filterColumn colId="4">
      <filters>
        <filter val="Rejuvenator"/>
      </filters>
    </filterColumn>
  </autoFilter>
  <tableColumns count="15">
    <tableColumn id="1" name="pub_date"/>
    <tableColumn id="2" name="created"/>
    <tableColumn id="3" name="updated"/>
    <tableColumn id="4" name="name"/>
    <tableColumn id="5" name="name_en"/>
    <tableColumn id="6" name="effect"/>
    <tableColumn id="7" name="hint"/>
    <tableColumn id="8" name="table"/>
    <tableColumn id="9" name="level"/>
    <tableColumn id="10" name="cs_page"/>
    <tableColumn id="11" name="is_manifeste"/>
    <tableColumn id="12" name="is_fantastic"/>
    <tableColumn id="13" name="is_subtle"/>
    <tableColumn id="14" name="Column1"/>
    <tableColumn id="15" name="Column2"/>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4"/>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B21" activeCellId="0" sqref="B21"/>
    </sheetView>
  </sheetViews>
  <sheetFormatPr defaultColWidth="8.5390625" defaultRowHeight="15" zeroHeight="false" outlineLevelRow="0" outlineLevelCol="0"/>
  <cols>
    <col collapsed="false" customWidth="true" hidden="false" outlineLevel="0" max="1" min="1" style="0" width="33.14"/>
    <col collapsed="false" customWidth="true" hidden="false" outlineLevel="0" max="3" min="2" style="0" width="38.43"/>
    <col collapsed="false" customWidth="true" hidden="false" outlineLevel="0" max="4" min="4" style="0" width="14.72"/>
    <col collapsed="false" customWidth="true" hidden="false" outlineLevel="0" max="6" min="5" style="0" width="38.14"/>
    <col collapsed="false" customWidth="true" hidden="false" outlineLevel="0" max="7" min="7" style="0" width="104.45"/>
  </cols>
  <sheetData>
    <row r="1" customFormat="false" ht="15" hidden="false" customHeight="false" outlineLevel="0" collapsed="false">
      <c r="A1" s="1" t="s">
        <v>0</v>
      </c>
      <c r="B1" s="1" t="s">
        <v>1</v>
      </c>
      <c r="C1" s="1" t="s">
        <v>2</v>
      </c>
      <c r="D1" s="1" t="s">
        <v>3</v>
      </c>
      <c r="E1" s="1" t="s">
        <v>4</v>
      </c>
      <c r="F1" s="1" t="s">
        <v>5</v>
      </c>
      <c r="G1" s="1" t="s">
        <v>6</v>
      </c>
    </row>
    <row r="2" customFormat="false" ht="15" hidden="false" customHeight="false" outlineLevel="0" collapsed="false">
      <c r="A2" s="2" t="s">
        <v>7</v>
      </c>
      <c r="B2" s="2" t="s">
        <v>8</v>
      </c>
      <c r="C2" s="2" t="s">
        <v>9</v>
      </c>
      <c r="D2" s="2" t="s">
        <v>10</v>
      </c>
      <c r="E2" s="2" t="str">
        <f aca="false">VLOOKUP(fantasycypherrs[[#This Row],[Cypher Name]],Sheet1!E:O,11,FALSE())</f>
        <v>Adhésion</v>
      </c>
      <c r="F2" s="2" t="str">
        <f aca="false">VLOOKUP(fantasycypherrs[[#This Row],[Cypher Name]],Sheet1!E:O,5,FALSE())</f>
        <v>1d6</v>
      </c>
      <c r="G2" s="2" t="str">
        <f aca="false">VLOOKUP(fantasycypherrs[[#This Row],[Cypher Name]],Sheet1!E:O,2,FALSE())</f>
        <v>Permet de grimper automatiquement sur toute les surfaces, màême horizontales. Dure pendant 10 minutes par niveau du cypher.</v>
      </c>
    </row>
    <row r="3" customFormat="false" ht="15" hidden="false" customHeight="false" outlineLevel="0" collapsed="false">
      <c r="A3" s="2" t="s">
        <v>11</v>
      </c>
      <c r="B3" s="2" t="s">
        <v>12</v>
      </c>
      <c r="C3" s="2" t="s">
        <v>13</v>
      </c>
      <c r="D3" s="2" t="s">
        <v>10</v>
      </c>
      <c r="E3" s="2" t="str">
        <f aca="false">VLOOKUP(fantasycypherrs[[#This Row],[Cypher Name]],Sheet1!E:O,11,FALSE())</f>
        <v>Preneur d'à‚ge</v>
      </c>
      <c r="F3" s="2" t="str">
        <f aca="false">VLOOKUP(fantasycypherrs[[#This Row],[Cypher Name]],Sheet1!E:O,5,FALSE())</f>
        <v>1d6 + 4</v>
      </c>
      <c r="G3" s="2" t="str">
        <f aca="false">VLOOKUP(fantasycypherrs[[#This Row],[Cypher Name]],Sheet1!E:O,2,FALSE())</f>
        <v>Commence un processus de rajeunissement qui enlève des années à  l'âge physiologique du porteur. Au cours des sept prochains jours, le porteur perd un nombre d'années égal à  trois fois le niveau du cypher. Le cypher ne ramène pas l'âge physiologique en dessous de vingt-trois ans.</v>
      </c>
    </row>
    <row r="4" customFormat="false" ht="15" hidden="false" customHeight="false" outlineLevel="0" collapsed="false">
      <c r="A4" s="2" t="s">
        <v>14</v>
      </c>
      <c r="B4" s="2" t="s">
        <v>15</v>
      </c>
      <c r="C4" s="2" t="s">
        <v>16</v>
      </c>
      <c r="D4" s="2" t="s">
        <v>10</v>
      </c>
      <c r="E4" s="1" t="s">
        <v>17</v>
      </c>
      <c r="F4" s="1" t="s">
        <v>18</v>
      </c>
      <c r="G4" s="1" t="s">
        <v>19</v>
      </c>
    </row>
    <row r="5" customFormat="false" ht="15" hidden="false" customHeight="false" outlineLevel="0" collapsed="false">
      <c r="A5" s="2" t="s">
        <v>20</v>
      </c>
      <c r="B5" s="2" t="s">
        <v>21</v>
      </c>
      <c r="C5" s="2" t="s">
        <v>22</v>
      </c>
      <c r="D5" s="2" t="s">
        <v>10</v>
      </c>
      <c r="E5" s="1" t="s">
        <v>23</v>
      </c>
      <c r="F5" s="1" t="s">
        <v>18</v>
      </c>
      <c r="G5" s="1" t="s">
        <v>19</v>
      </c>
    </row>
    <row r="6" customFormat="false" ht="15" hidden="false" customHeight="false" outlineLevel="0" collapsed="false">
      <c r="A6" s="2" t="s">
        <v>24</v>
      </c>
      <c r="B6" s="2" t="s">
        <v>25</v>
      </c>
      <c r="C6" s="2" t="s">
        <v>26</v>
      </c>
      <c r="D6" s="2" t="s">
        <v>10</v>
      </c>
      <c r="E6" s="1" t="s">
        <v>27</v>
      </c>
      <c r="F6" s="1" t="s">
        <v>18</v>
      </c>
      <c r="G6" s="1" t="s">
        <v>19</v>
      </c>
    </row>
    <row r="7" customFormat="false" ht="15" hidden="false" customHeight="false" outlineLevel="0" collapsed="false">
      <c r="A7" s="2" t="s">
        <v>28</v>
      </c>
      <c r="B7" s="2" t="s">
        <v>29</v>
      </c>
      <c r="C7" s="2" t="s">
        <v>30</v>
      </c>
      <c r="D7" s="2" t="s">
        <v>10</v>
      </c>
      <c r="E7" s="2" t="str">
        <f aca="false">VLOOKUP(fantasycypherrs[[#This Row],[Cypher Name]],Sheet1!E:O,11,FALSE())</f>
        <v>Antivenin</v>
      </c>
      <c r="F7" s="2" t="str">
        <f aca="false">VLOOKUP(fantasycypherrs[[#This Row],[Cypher Name]],Sheet1!E:O,5,FALSE())</f>
        <v>1d6 + 2</v>
      </c>
      <c r="G7" s="2" t="str">
        <f aca="false">VLOOKUP(fantasycypherrs[[#This Row],[Cypher Name]],Sheet1!E:O,2,FALSE())</f>
        <v>Rend l'utilisateur immunisé contre les poisons d'un niveau inférieur ou égal à  celui du cypher pendant une heure par niveau du cypher (et annule tout effet en cours déjà  présent dans le système de l'utilisateur).</v>
      </c>
    </row>
    <row r="8" customFormat="false" ht="15" hidden="false" customHeight="false" outlineLevel="0" collapsed="false">
      <c r="A8" s="2" t="s">
        <v>31</v>
      </c>
      <c r="B8" s="2" t="s">
        <v>32</v>
      </c>
      <c r="C8" s="2" t="s">
        <v>33</v>
      </c>
      <c r="D8" s="2" t="s">
        <v>10</v>
      </c>
      <c r="E8" s="2" t="str">
        <f aca="false">VLOOKUP(fantasycypherrs[[#This Row],[Cypher Name]],Sheet1!E:O,11,FALSE())</f>
        <v>Renforcement d'Armure</v>
      </c>
      <c r="F8" s="2" t="str">
        <f aca="false">VLOOKUP(fantasycypherrs[[#This Row],[Cypher Name]],Sheet1!E:O,5,FALSE())</f>
        <v>1d6 + 1</v>
      </c>
      <c r="G8" s="2" t="str">
        <f aca="false">VLOOKUP(fantasycypherrs[[#This Row],[Cypher Name]],Sheet1!E:O,2,FALSE())</f>
        <v>armure de l'utilisateur bénéficie d'une amélioration pendant vingt-quatre heures. Lancez un d6 pour déterminer le résultat.</v>
      </c>
    </row>
    <row r="9" customFormat="false" ht="15" hidden="false" customHeight="false" outlineLevel="0" collapsed="false">
      <c r="A9" s="2" t="s">
        <v>34</v>
      </c>
      <c r="B9" s="2" t="s">
        <v>35</v>
      </c>
      <c r="C9" s="2" t="s">
        <v>36</v>
      </c>
      <c r="D9" s="2" t="s">
        <v>10</v>
      </c>
      <c r="E9" s="2" t="str">
        <f aca="false">VLOOKUP(fantasycypherrs[[#This Row],[Cypher Name]],Sheet1!E:O,11,FALSE())</f>
        <v>Attracteur</v>
      </c>
      <c r="F9" s="2" t="str">
        <f aca="false">VLOOKUP(fantasycypherrs[[#This Row],[Cypher Name]],Sheet1!E:O,5,FALSE())</f>
        <v>1d6 + 4</v>
      </c>
      <c r="G9" s="2" t="str">
        <f aca="false">VLOOKUP(fantasycypherrs[[#This Row],[Cypher Name]],Sheet1!E:O,2,FALSE())</f>
        <v>Un objet non ancré de la taille de l'utilisateur ou plus petit, situé à  longue portée (très longue portée si le niveau du cypher est de 8 ou plus), est immédiatement attiré vers l'utilisateur. Cela prend un tour. L'objet n'a aucun élan lorsqu'il arrive.</v>
      </c>
    </row>
    <row r="10" customFormat="false" ht="15" hidden="false" customHeight="false" outlineLevel="0" collapsed="false">
      <c r="A10" s="2" t="s">
        <v>37</v>
      </c>
      <c r="B10" s="2" t="s">
        <v>38</v>
      </c>
      <c r="C10" s="2" t="s">
        <v>39</v>
      </c>
      <c r="D10" s="2" t="s">
        <v>10</v>
      </c>
      <c r="E10" s="2" t="str">
        <f aca="false">VLOOKUP(fantasycypherrs[[#This Row],[Cypher Name]],Sheet1!E:O,11,FALSE())</f>
        <v>Bannissement</v>
      </c>
      <c r="F10" s="2" t="str">
        <f aca="false">VLOOKUP(fantasycypherrs[[#This Row],[Cypher Name]],Sheet1!E:O,5,FALSE())</f>
        <v>1d6</v>
      </c>
      <c r="G10" s="2" t="str">
        <f aca="false">VLOOKUP(fantasycypherrs[[#This Row],[Cypher Name]],Sheet1!E:O,2,FALSE())</f>
        <v>Pendant la journée suivante, chaque fois que l'utilisateur frappe une créature ou un objet solide, cela génère une décharge d'énergie qui téléporte la créature ou l'objet à  une distance immédiate dans une direction aléatoire (ni vers le haut ni vers le bas). Les actions de la créature téléportée (y compris la défense) sont entravées à  son prochain tour (entravées de deux crans si le niveau du cypher est de 5 ou plus).</v>
      </c>
    </row>
    <row r="11" customFormat="false" ht="15" hidden="false" customHeight="false" outlineLevel="0" collapsed="false">
      <c r="A11" s="2" t="s">
        <v>40</v>
      </c>
      <c r="B11" s="2" t="s">
        <v>41</v>
      </c>
      <c r="C11" s="2" t="s">
        <v>42</v>
      </c>
      <c r="D11" s="2" t="s">
        <v>10</v>
      </c>
      <c r="E11" s="2" t="str">
        <f aca="false">VLOOKUP(fantasycypherrs[[#This Row],[Cypher Name]],Sheet1!E:O,11,FALSE())</f>
        <v>Meilleur Outil</v>
      </c>
      <c r="F11" s="2" t="str">
        <f aca="false">VLOOKUP(fantasycypherrs[[#This Row],[Cypher Name]],Sheet1!E:O,5,FALSE())</f>
        <v>1d6</v>
      </c>
      <c r="G11" s="2" t="str">
        <f aca="false">VLOOKUP(fantasycypherrs[[#This Row],[Cypher Name]],Sheet1!E:O,2,FALSE())</f>
        <v>Fournit un atout supplémentaire pour toute tâche utilisant un outil, màême si cela signifie dépasser la limite normale de deux atouts.</v>
      </c>
    </row>
    <row r="12" customFormat="false" ht="15" hidden="false" customHeight="false" outlineLevel="0" collapsed="false">
      <c r="A12" s="2" t="s">
        <v>43</v>
      </c>
      <c r="B12" s="2" t="s">
        <v>44</v>
      </c>
      <c r="C12" s="2" t="s">
        <v>45</v>
      </c>
      <c r="D12" s="2" t="s">
        <v>10</v>
      </c>
      <c r="E12" s="2" t="str">
        <f aca="false">VLOOKUP(fantasycypherrs[[#This Row],[Cypher Name]],Sheet1!E:O,11,FALSE())</f>
        <v>Blackout</v>
      </c>
      <c r="F12" s="2" t="str">
        <f aca="false">VLOOKUP(fantasycypherrs[[#This Row],[Cypher Name]],Sheet1!E:O,5,FALSE())</f>
        <v>1d6 + 2</v>
      </c>
      <c r="G12" s="2" t="str">
        <f aca="false">VLOOKUP(fantasycypherrs[[#This Row],[Cypher Name]],Sheet1!E:O,2,FALSE())</f>
        <v>Une zone à  portée immédiate de l'utilisateur devient sécurisée contre tout effet extérieur à  la zone qui tenterait de voir, d'entendre ou de percevoir ce qui se passe à  l'intérieur. Pour les observateurs extérieurs, la zone apparaît comme un "flou" pour tout sens appliqué. Les écoutes, capteurs de divination et autres méthodes de surveillance directe sont également rendus inopérants dans la zone pendant une journée.</v>
      </c>
    </row>
    <row r="13" customFormat="false" ht="15" hidden="false" customHeight="false" outlineLevel="0" collapsed="false">
      <c r="A13" s="2" t="s">
        <v>46</v>
      </c>
      <c r="B13" s="2" t="s">
        <v>47</v>
      </c>
      <c r="C13" s="2" t="s">
        <v>48</v>
      </c>
      <c r="D13" s="2" t="s">
        <v>49</v>
      </c>
      <c r="E13" s="2" t="str">
        <f aca="false">VLOOKUP(fantasycypherrs[[#This Row],[Cypher Name]],Sheet1!E:O,11,FALSE())</f>
        <v>Clignotement</v>
      </c>
      <c r="F13" s="2" t="str">
        <f aca="false">VLOOKUP(fantasycypherrs[[#This Row],[Cypher Name]],Sheet1!E:O,5,FALSE())</f>
        <v>1d6</v>
      </c>
      <c r="G13" s="2" t="str">
        <f aca="false">VLOOKUP(fantasycypherrs[[#This Row],[Cypher Name]],Sheet1!E:O,2,FALSE())</f>
        <v>Pendant la journée suivante, chaque fois que l'utilisateur est frappé suffisamment fort pour subir des dégâts (mais pas plus d'une fois par tour), il se téléporte à  une distance immédiate dans une direction aléatoire (ni vers le haut ni vers le bas). Comme l'utilisateur est préparé à  cet effet et que son adversaire ne l'est pas, les défenses de l'utilisateur sont facilitées pendant un tour après la téléportation.</v>
      </c>
    </row>
    <row r="14" customFormat="false" ht="15" hidden="false" customHeight="false" outlineLevel="0" collapsed="false">
      <c r="A14" s="2" t="s">
        <v>50</v>
      </c>
      <c r="B14" s="2" t="s">
        <v>51</v>
      </c>
      <c r="C14" s="2" t="s">
        <v>52</v>
      </c>
      <c r="D14" s="2" t="s">
        <v>49</v>
      </c>
      <c r="E14" s="2" t="str">
        <f aca="false">VLOOKUP(fantasycypherrs[[#This Row],[Cypher Name]],Sheet1!E:O,11,FALSE())</f>
        <v>Explosion de Célérité</v>
      </c>
      <c r="F14" s="2" t="str">
        <f aca="false">VLOOKUP(fantasycypherrs[[#This Row],[Cypher Name]],Sheet1!E:O,5,FALSE())</f>
        <v>1d6</v>
      </c>
      <c r="G14" s="2" t="str">
        <f aca="false">VLOOKUP(fantasycypherrs[[#This Row],[Cypher Name]],Sheet1!E:O,2,FALSE())</f>
        <v>Pendant une minute, un utilisateur qui peut normalement se déplacer sur une courte distance en une action peut se déplacer sur une longue distance à  la place.</v>
      </c>
    </row>
    <row r="15" customFormat="false" ht="15" hidden="false" customHeight="false" outlineLevel="0" collapsed="false">
      <c r="A15" s="2" t="s">
        <v>53</v>
      </c>
      <c r="B15" s="2" t="s">
        <v>54</v>
      </c>
      <c r="C15" s="2" t="s">
        <v>55</v>
      </c>
      <c r="D15" s="2" t="s">
        <v>49</v>
      </c>
      <c r="E15" s="2" t="str">
        <f aca="false">VLOOKUP(fantasycypherrs[[#This Row],[Cypher Name]],Sheet1!E:O,11,FALSE())</f>
        <v>Catholicon</v>
      </c>
      <c r="F15" s="2" t="str">
        <f aca="false">VLOOKUP(fantasycypherrs[[#This Row],[Cypher Name]],Sheet1!E:O,5,FALSE())</f>
        <v>1d6 + 2</v>
      </c>
      <c r="G15" s="2" t="str">
        <f aca="false">VLOOKUP(fantasycypherrs[[#This Row],[Cypher Name]],Sheet1!E:O,2,FALSE())</f>
        <v>Guérit toute maladie d'un niveau égal ou inférieur à  celui du cypher.</v>
      </c>
    </row>
    <row r="16" customFormat="false" ht="15" hidden="false" customHeight="false" outlineLevel="0" collapsed="false">
      <c r="A16" s="2" t="s">
        <v>56</v>
      </c>
      <c r="B16" s="2" t="s">
        <v>57</v>
      </c>
      <c r="C16" s="2" t="s">
        <v>58</v>
      </c>
      <c r="D16" s="2" t="s">
        <v>49</v>
      </c>
      <c r="E16" s="2" t="str">
        <f aca="false">VLOOKUP(fantasycypherrs[[#This Row],[Cypher Name]],Sheet1!E:O,11,FALSE())</f>
        <v>Usine Chimique</v>
      </c>
      <c r="F16" s="2" t="str">
        <f aca="false">VLOOKUP(fantasycypherrs[[#This Row],[Cypher Name]],Sheet1!E:O,5,FALSE())</f>
        <v>1d6</v>
      </c>
      <c r="G16" s="2" t="str">
        <f aca="false">VLOOKUP(fantasycypherrs[[#This Row],[Cypher Name]],Sheet1!E:O,2,FALSE())</f>
        <v>Après une heure, la sueur de l'utilisateur produit 1d6 doses d'un liquide précieux (ces doses ne sont pas considérées comme des cyphers). Elles doivent àêtre utilisées dans la semaine. Lancez un d100 pour déterminer l'effet.</v>
      </c>
    </row>
    <row r="17" customFormat="false" ht="15" hidden="false" customHeight="false" outlineLevel="0" collapsed="false">
      <c r="A17" s="2" t="s">
        <v>59</v>
      </c>
      <c r="B17" s="2" t="s">
        <v>60</v>
      </c>
      <c r="C17" s="3" t="s">
        <v>61</v>
      </c>
      <c r="D17" s="2" t="s">
        <v>62</v>
      </c>
      <c r="E17" s="2" t="str">
        <f aca="false">VLOOKUP(fantasycypherrs[[#This Row],[Cypher Name]],Sheet1!E:O,11,FALSE())</f>
        <v>Communication Psychique</v>
      </c>
      <c r="F17" s="2" t="str">
        <f aca="false">VLOOKUP(fantasycypherrs[[#This Row],[Cypher Name]],Sheet1!E:O,5,FALSE())</f>
        <v>1d6 + 2</v>
      </c>
      <c r="G17" s="2" t="str">
        <f aca="false">VLOOKUP(fantasycypherrs[[#This Row],[Cypher Name]],Sheet1!E:O,2,FALSE())</f>
        <v>Permet à  l'utilisateur de projeter un message télépathique unique et unidirectionnel de jusqu'à  dix mots par niveau de cypher, avec une portée illimitée, à  quiconque qu'il connaît.</v>
      </c>
    </row>
    <row r="18" customFormat="false" ht="15" hidden="false" customHeight="false" outlineLevel="0" collapsed="false">
      <c r="A18" s="2" t="s">
        <v>63</v>
      </c>
      <c r="B18" s="2" t="s">
        <v>64</v>
      </c>
      <c r="C18" s="2" t="s">
        <v>65</v>
      </c>
      <c r="D18" s="2" t="s">
        <v>49</v>
      </c>
      <c r="E18" s="2" t="str">
        <f aca="false">VLOOKUP(fantasycypherrs[[#This Row],[Cypher Name]],Sheet1!E:O,11,FALSE())</f>
        <v>Compréhension</v>
      </c>
      <c r="F18" s="2" t="str">
        <f aca="false">VLOOKUP(fantasycypherrs[[#This Row],[Cypher Name]],Sheet1!E:O,5,FALSE())</f>
        <v>1d6 + 1</v>
      </c>
      <c r="G18" s="2" t="str">
        <f aca="false">VLOOKUP(fantasycypherrs[[#This Row],[Cypher Name]],Sheet1!E:O,2,FALSE())</f>
        <v>En cinq minutes, l'utilisateur peut comprendre les mots d'une langue spécifique liée au cypher (deux langues si le cypher est de niveau 5 ou plus). Cela est vrai màême pour les créatures qui ne possèdent normalement pas de langage. Si l'utilisateur comprenait déjà  la langue, le cypher n'a aucun effet. Une fois utilisé, l'effet est permanent et le cypher ne compte plus dans la limite de cyphers qu'un personnage peut porter.</v>
      </c>
    </row>
    <row r="19" customFormat="false" ht="15" hidden="false" customHeight="false" outlineLevel="0" collapsed="false">
      <c r="A19" s="2" t="s">
        <v>66</v>
      </c>
      <c r="B19" s="2" t="s">
        <v>67</v>
      </c>
      <c r="C19" s="2" t="s">
        <v>68</v>
      </c>
      <c r="D19" s="2" t="s">
        <v>49</v>
      </c>
      <c r="E19" s="2" t="str">
        <f aca="false">VLOOKUP(fantasycypherrs[[#This Row],[Cypher Name]],Sheet1!E:O,11,FALSE())</f>
        <v>Eliminateur de Conditions</v>
      </c>
      <c r="F19" s="2" t="str">
        <f aca="false">VLOOKUP(fantasycypherrs[[#This Row],[Cypher Name]],Sheet1!E:O,5,FALSE())</f>
        <v>1d6 + 3</v>
      </c>
      <c r="G19" s="2" t="str">
        <f aca="false">VLOOKUP(fantasycypherrs[[#This Row],[Cypher Name]],Sheet1!E:O,2,FALSE())</f>
        <v>Guérit une occurrence d'une condition de santé spécifique d'un niveau inférieur ou égal à  celui du cypher. Cela n'empàêche pas de futures occurrences de la màême condition. Lancez un d20 pour déterminer ce que cela guérit.</v>
      </c>
    </row>
    <row r="20" customFormat="false" ht="15" hidden="false" customHeight="false" outlineLevel="0" collapsed="false">
      <c r="A20" s="2" t="s">
        <v>69</v>
      </c>
      <c r="B20" s="2" t="s">
        <v>70</v>
      </c>
      <c r="C20" s="2" t="s">
        <v>71</v>
      </c>
      <c r="D20" s="2" t="s">
        <v>72</v>
      </c>
      <c r="E20" s="2" t="str">
        <f aca="false">VLOOKUP(fantasycypherrs[[#This Row],[Cypher Name]],Sheet1!E:O,11,FALSE())</f>
        <v>Activateur Contingent</v>
      </c>
      <c r="F20" s="2" t="str">
        <f aca="false">VLOOKUP(fantasycypherrs[[#This Row],[Cypher Name]],Sheet1!E:O,5,FALSE())</f>
        <v>1d6 + 2</v>
      </c>
      <c r="G20" s="2" t="str">
        <f aca="false">VLOOKUP(fantasycypherrs[[#This Row],[Cypher Name]],Sheet1!E:O,2,FALSE())</f>
        <v>Si l'appareil est activé conjointement avec un autre cypher, l'utilisateur peut spécifier une condition sous laquelle le cypher lié s'activera. Le cypher lié conserve la commande conditionnelle jusqu'à  son utilisation (soit normalement, soit conditionnellement). Par exemple, si ce cypher est lié à  un cypher qui offre une forme de guérison ou de protection, l'utilisateur pourrait spécifier que le cypher lié s'activera s'il subit des dégâts d'une certaine gravité ou s'il est exposé à  une situation dangereuse particulière. Tant que le cypher lié n'est pas utilisé, ce cypher continue de compter dans le nombre maximum de cyphers qu'un personnage peut porter.</v>
      </c>
    </row>
    <row r="21" customFormat="false" ht="15" hidden="false" customHeight="false" outlineLevel="0" collapsed="false">
      <c r="A21" s="2" t="s">
        <v>73</v>
      </c>
      <c r="B21" s="2" t="s">
        <v>74</v>
      </c>
      <c r="C21" s="2" t="s">
        <v>75</v>
      </c>
      <c r="D21" s="2" t="s">
        <v>72</v>
      </c>
      <c r="E21" s="2" t="str">
        <f aca="false">VLOOKUP(fantasycypherrs[[#This Row],[Cypher Name]],Sheet1!E:O,11,FALSE())</f>
        <v>Clignotement Contrôlé</v>
      </c>
      <c r="F21" s="2" t="str">
        <f aca="false">VLOOKUP(fantasycypherrs[[#This Row],[Cypher Name]],Sheet1!E:O,5,FALSE())</f>
        <v>1d6 + 2</v>
      </c>
      <c r="G21" s="2" t="str">
        <f aca="false">VLOOKUP(fantasycypherrs[[#This Row],[Cypher Name]],Sheet1!E:O,2,FALSE())</f>
        <v>Pendant la journée suivante, chaque fois que l'utilisateur est frappé suffisamment fort pour subir des dégâts (mais pas plus d'une fois par tour), il se téléporte à  un endroit de son choix à  portée immédiate. Comme il est préparé à  cet effet et que son adversaire ne l'est pas, les défenses de l'utilisateur sont facilitées pendant un tour après la téléportation.</v>
      </c>
    </row>
    <row r="22" customFormat="false" ht="15" hidden="false" customHeight="false" outlineLevel="0" collapsed="false">
      <c r="A22" s="2" t="s">
        <v>76</v>
      </c>
      <c r="B22" s="2" t="s">
        <v>77</v>
      </c>
      <c r="C22" s="2" t="s">
        <v>78</v>
      </c>
      <c r="D22" s="2" t="s">
        <v>72</v>
      </c>
      <c r="E22" s="1" t="s">
        <v>79</v>
      </c>
      <c r="F22" s="1" t="s">
        <v>18</v>
      </c>
      <c r="G22" s="1" t="s">
        <v>80</v>
      </c>
    </row>
    <row r="23" customFormat="false" ht="15" hidden="false" customHeight="false" outlineLevel="0" collapsed="false">
      <c r="A23" s="2" t="s">
        <v>81</v>
      </c>
      <c r="B23" s="2" t="s">
        <v>82</v>
      </c>
      <c r="C23" s="2" t="s">
        <v>83</v>
      </c>
      <c r="D23" s="2" t="s">
        <v>72</v>
      </c>
      <c r="E23" s="1" t="s">
        <v>84</v>
      </c>
      <c r="F23" s="1" t="s">
        <v>18</v>
      </c>
      <c r="G23" s="1" t="s">
        <v>80</v>
      </c>
    </row>
    <row r="24" customFormat="false" ht="15" hidden="false" customHeight="false" outlineLevel="0" collapsed="false">
      <c r="A24" s="2" t="s">
        <v>85</v>
      </c>
      <c r="B24" s="2" t="s">
        <v>86</v>
      </c>
      <c r="C24" s="2" t="s">
        <v>87</v>
      </c>
      <c r="D24" s="2" t="s">
        <v>72</v>
      </c>
      <c r="E24" s="1" t="s">
        <v>88</v>
      </c>
      <c r="F24" s="1" t="s">
        <v>18</v>
      </c>
      <c r="G24" s="1" t="s">
        <v>80</v>
      </c>
    </row>
    <row r="25" customFormat="false" ht="15" hidden="false" customHeight="false" outlineLevel="0" collapsed="false">
      <c r="A25" s="2" t="s">
        <v>89</v>
      </c>
      <c r="B25" s="2" t="s">
        <v>90</v>
      </c>
      <c r="C25" s="2" t="s">
        <v>91</v>
      </c>
      <c r="D25" s="2" t="s">
        <v>72</v>
      </c>
      <c r="E25" s="2" t="str">
        <f aca="false">VLOOKUP(fantasycypherrs[[#This Row],[Cypher Name]],Sheet1!E:O,11,FALSE())</f>
        <v>Porteur de Malédiction</v>
      </c>
      <c r="F25" s="2" t="str">
        <f aca="false">VLOOKUP(fantasycypherrs[[#This Row],[Cypher Name]],Sheet1!E:O,5,FALSE())</f>
        <v>1d6 + 1</v>
      </c>
      <c r="G25" s="2" t="str">
        <f aca="false">VLOOKUP(fantasycypherrs[[#This Row],[Cypher Name]],Sheet1!E:O,2,FALSE())</f>
        <v>Le cypher peut àêtre activé lorsqu'il est donné à  une personne qui n'en connaît pas l'importance. La prochaine fois que la victime tente une tâche importante alors qu'elle est en possession du cypher, la tâche est entravée de trois crans.</v>
      </c>
    </row>
    <row r="26" customFormat="false" ht="15" hidden="false" customHeight="false" outlineLevel="0" collapsed="false">
      <c r="A26" s="2" t="s">
        <v>92</v>
      </c>
      <c r="B26" s="2" t="s">
        <v>93</v>
      </c>
      <c r="C26" s="2" t="s">
        <v>94</v>
      </c>
      <c r="D26" s="2" t="s">
        <v>72</v>
      </c>
      <c r="E26" s="2" t="str">
        <f aca="false">VLOOKUP(fantasycypherrs[[#This Row],[Cypher Name]],Sheet1!E:O,11,FALSE())</f>
        <v>Vision Nocturne</v>
      </c>
      <c r="F26" s="2" t="str">
        <f aca="false">VLOOKUP(fantasycypherrs[[#This Row],[Cypher Name]],Sheet1!E:O,5,FALSE())</f>
        <v>1d6</v>
      </c>
      <c r="G26" s="2" t="str">
        <f aca="false">VLOOKUP(fantasycypherrs[[#This Row],[Cypher Name]],Sheet1!E:O,2,FALSE())</f>
        <v>Confère la capacité de voir dans le noir pendant cinq heures par niveau du cypher. (Pour un jeu plus réaliste, ce cypher pourrait plutôt rendre l'utilisateur spécialisé dans la détection en faible luminosité.)</v>
      </c>
    </row>
    <row r="27" customFormat="false" ht="15" hidden="false" customHeight="false" outlineLevel="0" collapsed="false">
      <c r="A27" s="2" t="s">
        <v>95</v>
      </c>
      <c r="B27" s="2" t="s">
        <v>96</v>
      </c>
      <c r="C27" s="2" t="s">
        <v>97</v>
      </c>
      <c r="D27" s="2" t="s">
        <v>72</v>
      </c>
      <c r="E27" s="2" t="str">
        <f aca="false">VLOOKUP(fantasycypherrs[[#This Row],[Cypher Name]],Sheet1!E:O,11,FALSE())</f>
        <v>Porteur de Mort</v>
      </c>
      <c r="F27" s="2" t="str">
        <f aca="false">VLOOKUP(fantasycypherrs[[#This Row],[Cypher Name]],Sheet1!E:O,5,FALSE())</f>
        <v>1d6</v>
      </c>
      <c r="G27" s="2" t="str">
        <f aca="false">VLOOKUP(fantasycypherrs[[#This Row],[Cypher Name]],Sheet1!E:O,2,FALSE())</f>
        <v>Pendant la prochaine minute, lorsque l'utilisateur frappe un PNJ ou une créature d'un niveau égal ou inférieur à  celui du cypher, il peut choisir de faire un second jet d'attaque. Si ce second jet d'attaque est une réussite, la cible est tuée. Si la cible est un PJ, le personnage descend d'un cran sur la piste de dégâts.</v>
      </c>
    </row>
    <row r="28" customFormat="false" ht="15" hidden="false" customHeight="false" outlineLevel="0" collapsed="false">
      <c r="A28" s="2" t="s">
        <v>98</v>
      </c>
      <c r="B28" s="2" t="s">
        <v>99</v>
      </c>
      <c r="C28" s="2" t="s">
        <v>100</v>
      </c>
      <c r="D28" s="2" t="s">
        <v>72</v>
      </c>
      <c r="E28" s="2" t="str">
        <f aca="false">VLOOKUP(fantasycypherrs[[#This Row],[Cypher Name]],Sheet1!E:O,11,FALSE())</f>
        <v>Densité</v>
      </c>
      <c r="F28" s="2" t="str">
        <f aca="false">VLOOKUP(fantasycypherrs[[#This Row],[Cypher Name]],Sheet1!E:O,5,FALSE())</f>
        <v>1d6</v>
      </c>
      <c r="G28" s="2" t="str">
        <f aca="false">VLOOKUP(fantasycypherrs[[#This Row],[Cypher Name]],Sheet1!E:O,2,FALSE())</f>
        <v>Pendant la journée suivante, chaque fois que l'utilisateur frappe une créature ou un objet solide avec une arme, l'arme voit soudainement son poids augmenter de manière spectaculaire, ce qui inflige 2 points de dégâts supplémentaires.</v>
      </c>
    </row>
    <row r="29" customFormat="false" ht="15" hidden="false" customHeight="false" outlineLevel="0" collapsed="false">
      <c r="A29" s="2" t="s">
        <v>101</v>
      </c>
      <c r="B29" s="2" t="s">
        <v>102</v>
      </c>
      <c r="C29" s="2" t="s">
        <v>103</v>
      </c>
      <c r="D29" s="2" t="s">
        <v>72</v>
      </c>
      <c r="E29" s="4" t="s">
        <v>104</v>
      </c>
      <c r="F29" s="2" t="s">
        <v>18</v>
      </c>
      <c r="G29" s="2" t="s">
        <v>105</v>
      </c>
    </row>
    <row r="30" customFormat="false" ht="15" hidden="false" customHeight="false" outlineLevel="0" collapsed="false">
      <c r="A30" s="2" t="s">
        <v>106</v>
      </c>
      <c r="B30" s="2" t="s">
        <v>107</v>
      </c>
      <c r="C30" s="2" t="s">
        <v>108</v>
      </c>
      <c r="D30" s="2" t="s">
        <v>72</v>
      </c>
      <c r="E30" s="4" t="s">
        <v>109</v>
      </c>
      <c r="F30" s="2" t="s">
        <v>18</v>
      </c>
      <c r="G30" s="2" t="s">
        <v>105</v>
      </c>
    </row>
    <row r="31" customFormat="false" ht="15" hidden="false" customHeight="false" outlineLevel="0" collapsed="false">
      <c r="A31" s="2" t="s">
        <v>110</v>
      </c>
      <c r="B31" s="2" t="s">
        <v>111</v>
      </c>
      <c r="C31" s="2" t="s">
        <v>112</v>
      </c>
      <c r="D31" s="2" t="s">
        <v>72</v>
      </c>
      <c r="E31" s="4" t="s">
        <v>113</v>
      </c>
      <c r="F31" s="2" t="s">
        <v>18</v>
      </c>
      <c r="G31" s="2" t="s">
        <v>105</v>
      </c>
    </row>
    <row r="32" customFormat="false" ht="15" hidden="false" customHeight="false" outlineLevel="0" collapsed="false">
      <c r="A32" s="2" t="s">
        <v>114</v>
      </c>
      <c r="B32" s="2" t="s">
        <v>115</v>
      </c>
      <c r="C32" s="2" t="s">
        <v>116</v>
      </c>
      <c r="D32" s="2" t="s">
        <v>72</v>
      </c>
      <c r="E32" s="2" t="str">
        <f aca="false">VLOOKUP(fantasycypherrs[[#This Row],[Cypher Name]],Sheet1!E:O,11,FALSE())</f>
        <v>Détonation (Créature)</v>
      </c>
      <c r="F32" s="2" t="str">
        <f aca="false">VLOOKUP(fantasycypherrs[[#This Row],[Cypher Name]],Sheet1!E:O,5,FALSE())</f>
        <v>1d6 + 1</v>
      </c>
      <c r="G32" s="2" t="str">
        <f aca="false">VLOOKUP(fantasycypherrs[[#This Row],[Cypher Name]],Sheet1!E:O,2,FALSE())</f>
        <v>Projette un petit explosif physique jusqu'à  longue distance qui explose et crée un portail de téléportation temporaire. Une créature aléatoire dont le niveau est inférieur ou égal à  celui du cypher apparaît à  travers le portail et attaque la cible la plus proche. Au bout d'environ une minute, la créature disparaît.</v>
      </c>
    </row>
    <row r="33" customFormat="false" ht="15" hidden="false" customHeight="false" outlineLevel="0" collapsed="false">
      <c r="A33" s="2" t="s">
        <v>117</v>
      </c>
      <c r="B33" s="2" t="s">
        <v>118</v>
      </c>
      <c r="C33" s="2" t="s">
        <v>119</v>
      </c>
      <c r="D33" s="2" t="s">
        <v>72</v>
      </c>
      <c r="E33" s="2" t="str">
        <f aca="false">VLOOKUP(fantasycypherrs[[#This Row],[Cypher Name]],Sheet1!E:O,11,FALSE())</f>
        <v>Détonation (Desséchant)</v>
      </c>
      <c r="F33" s="2" t="str">
        <f aca="false">VLOOKUP(fantasycypherrs[[#This Row],[Cypher Name]],Sheet1!E:O,5,FALSE())</f>
        <v>1d6 + 2</v>
      </c>
      <c r="G33" s="2" t="str">
        <f aca="false">VLOOKUP(fantasycypherrs[[#This Row],[Cypher Name]],Sheet1!E:O,2,FALSE())</f>
        <v>Projette un petit explosif physique jusqu'à  longue distance qui éclate dans un rayon immédiat, drainant l'humidité de tout ce qui s'y trouve. Les créatures vivantes subissent des dégâts égaux au niveau du cypher. L'eau présente dans la zone est vaporisée.</v>
      </c>
    </row>
    <row r="34" customFormat="false" ht="15" hidden="false" customHeight="false" outlineLevel="0" collapsed="false">
      <c r="A34" s="2" t="s">
        <v>120</v>
      </c>
      <c r="B34" s="2" t="s">
        <v>121</v>
      </c>
      <c r="C34" s="2" t="s">
        <v>122</v>
      </c>
      <c r="D34" s="2" t="s">
        <v>72</v>
      </c>
      <c r="E34" s="4" t="s">
        <v>123</v>
      </c>
      <c r="F34" s="2" t="s">
        <v>18</v>
      </c>
      <c r="G34" s="2" t="s">
        <v>105</v>
      </c>
    </row>
    <row r="35" customFormat="false" ht="15" hidden="false" customHeight="false" outlineLevel="0" collapsed="false">
      <c r="A35" s="2" t="s">
        <v>124</v>
      </c>
      <c r="B35" s="2" t="s">
        <v>125</v>
      </c>
      <c r="C35" s="2" t="s">
        <v>126</v>
      </c>
      <c r="D35" s="2" t="s">
        <v>72</v>
      </c>
      <c r="E35" s="4" t="s">
        <v>127</v>
      </c>
      <c r="F35" s="2" t="s">
        <v>18</v>
      </c>
      <c r="G35" s="2" t="s">
        <v>128</v>
      </c>
    </row>
    <row r="36" customFormat="false" ht="15" hidden="false" customHeight="false" outlineLevel="0" collapsed="false">
      <c r="A36" s="2" t="s">
        <v>129</v>
      </c>
      <c r="B36" s="2" t="s">
        <v>130</v>
      </c>
      <c r="C36" s="2" t="s">
        <v>131</v>
      </c>
      <c r="D36" s="2" t="s">
        <v>72</v>
      </c>
      <c r="E36" s="2" t="str">
        <f aca="false">VLOOKUP(fantasycypherrs[[#This Row],[Cypher Name]],Sheet1!E:O,11,FALSE())</f>
        <v>Détonation (Flash)</v>
      </c>
      <c r="F36" s="2" t="str">
        <f aca="false">VLOOKUP(fantasycypherrs[[#This Row],[Cypher Name]],Sheet1!E:O,5,FALSE())</f>
        <v>1d6 + 2</v>
      </c>
      <c r="G36" s="2" t="str">
        <f aca="false">VLOOKUP(fantasycypherrs[[#This Row],[Cypher Name]],Sheet1!E:O,2,FALSE())</f>
        <v>Projette un petit explosif physique jusqu'à  longue distance qui éclate dans un rayon immédiat, aveuglant tous ceux qui s'y trouvent pendant une minute (dix minutes si le cypher est de niveau 4 ou plus).</v>
      </c>
    </row>
    <row r="37" customFormat="false" ht="15" hidden="false" customHeight="false" outlineLevel="0" collapsed="false">
      <c r="A37" s="2" t="s">
        <v>132</v>
      </c>
      <c r="B37" s="2" t="s">
        <v>133</v>
      </c>
      <c r="C37" s="2" t="s">
        <v>134</v>
      </c>
      <c r="D37" s="2" t="s">
        <v>135</v>
      </c>
      <c r="E37" s="2" t="str">
        <f aca="false">VLOOKUP(fantasycypherrs[[#This Row],[Cypher Name]],Sheet1!E:O,11,FALSE())</f>
        <v>Détonation (Inversion Gravitationnelle)</v>
      </c>
      <c r="F37" s="2" t="str">
        <f aca="false">VLOOKUP(fantasycypherrs[[#This Row],[Cypher Name]],Sheet1!E:O,5,FALSE())</f>
        <v>1d6 + 1</v>
      </c>
      <c r="G37" s="2" t="str">
        <f aca="false">VLOOKUP(fantasycypherrs[[#This Row],[Cypher Name]],Sheet1!E:O,2,FALSE())</f>
        <v>Projette un petit explosif physique jusqu'à  longue distance qui explose, et pendant une heure, la gravité est inversée dans un rayon long autour de l'explosion.</v>
      </c>
    </row>
    <row r="38" customFormat="false" ht="15" hidden="false" customHeight="false" outlineLevel="0" collapsed="false">
      <c r="A38" s="2" t="s">
        <v>136</v>
      </c>
      <c r="B38" s="2" t="s">
        <v>137</v>
      </c>
      <c r="C38" s="2" t="s">
        <v>138</v>
      </c>
      <c r="D38" s="2" t="s">
        <v>135</v>
      </c>
      <c r="E38" s="2" t="str">
        <f aca="false">VLOOKUP(fantasycypherrs[[#This Row],[Cypher Name]],Sheet1!E:O,11,FALSE())</f>
        <v>Détonation (Gravité)</v>
      </c>
      <c r="F38" s="2" t="str">
        <f aca="false">VLOOKUP(fantasycypherrs[[#This Row],[Cypher Name]],Sheet1!E:O,5,FALSE())</f>
        <v>1d6 + 2</v>
      </c>
      <c r="G38" s="2" t="str">
        <f aca="false">VLOOKUP(fantasycypherrs[[#This Row],[Cypher Name]],Sheet1!E:O,2,FALSE())</f>
        <v>ProjetteDetonation (Gravity) un petit explosif physique jusqu'à  longue distance qui éclate dans un rayon immédiat, infligeant des dégâts égaux au niveau du cypher en augmentant fortement la gravité pendant une seconde. Toutes les créatures dans la zone sont écrasées au sol pendant un tour et ne peuvent pas effectuer d'actions physiques.</v>
      </c>
    </row>
    <row r="39" customFormat="false" ht="15" hidden="false" customHeight="false" outlineLevel="0" collapsed="false">
      <c r="A39" s="2" t="s">
        <v>139</v>
      </c>
      <c r="B39" s="2" t="s">
        <v>140</v>
      </c>
      <c r="C39" s="2" t="s">
        <v>141</v>
      </c>
      <c r="D39" s="2" t="s">
        <v>135</v>
      </c>
      <c r="E39" s="4" t="s">
        <v>142</v>
      </c>
      <c r="F39" s="2" t="s">
        <v>18</v>
      </c>
      <c r="G39" s="4" t="s">
        <v>143</v>
      </c>
    </row>
    <row r="40" customFormat="false" ht="15" hidden="false" customHeight="false" outlineLevel="0" collapsed="false">
      <c r="A40" s="2" t="s">
        <v>144</v>
      </c>
      <c r="B40" s="2" t="s">
        <v>145</v>
      </c>
      <c r="C40" s="2" t="s">
        <v>146</v>
      </c>
      <c r="D40" s="2" t="s">
        <v>135</v>
      </c>
      <c r="E40" s="4" t="s">
        <v>147</v>
      </c>
      <c r="F40" s="2" t="s">
        <v>18</v>
      </c>
      <c r="G40" s="4" t="s">
        <v>148</v>
      </c>
    </row>
    <row r="41" customFormat="false" ht="15" hidden="false" customHeight="false" outlineLevel="0" collapsed="false">
      <c r="A41" s="2" t="s">
        <v>149</v>
      </c>
      <c r="B41" s="2" t="s">
        <v>150</v>
      </c>
      <c r="C41" s="2" t="s">
        <v>151</v>
      </c>
      <c r="D41" s="2" t="s">
        <v>135</v>
      </c>
      <c r="E41" s="4" t="s">
        <v>152</v>
      </c>
      <c r="F41" s="2" t="s">
        <v>18</v>
      </c>
      <c r="G41" s="2" t="s">
        <v>153</v>
      </c>
    </row>
    <row r="42" customFormat="false" ht="15" hidden="false" customHeight="false" outlineLevel="0" collapsed="false">
      <c r="A42" s="2" t="s">
        <v>154</v>
      </c>
      <c r="B42" s="2" t="s">
        <v>155</v>
      </c>
      <c r="C42" s="2" t="s">
        <v>156</v>
      </c>
      <c r="D42" s="2" t="s">
        <v>135</v>
      </c>
      <c r="E42" s="4" t="s">
        <v>157</v>
      </c>
      <c r="F42" s="2" t="s">
        <v>18</v>
      </c>
      <c r="G42" s="4" t="s">
        <v>158</v>
      </c>
    </row>
    <row r="43" customFormat="false" ht="15" hidden="false" customHeight="false" outlineLevel="0" collapsed="false">
      <c r="A43" s="2" t="s">
        <v>159</v>
      </c>
      <c r="B43" s="2" t="s">
        <v>160</v>
      </c>
      <c r="C43" s="2" t="s">
        <v>161</v>
      </c>
      <c r="D43" s="2" t="s">
        <v>135</v>
      </c>
      <c r="E43" s="4" t="s">
        <v>162</v>
      </c>
      <c r="F43" s="2" t="s">
        <v>18</v>
      </c>
      <c r="G43" s="4" t="s">
        <v>163</v>
      </c>
    </row>
    <row r="44" customFormat="false" ht="15" hidden="false" customHeight="false" outlineLevel="0" collapsed="false">
      <c r="A44" s="2" t="s">
        <v>164</v>
      </c>
      <c r="B44" s="2" t="s">
        <v>165</v>
      </c>
      <c r="C44" s="2" t="s">
        <v>166</v>
      </c>
      <c r="D44" s="2" t="s">
        <v>135</v>
      </c>
      <c r="E44" s="4" t="s">
        <v>167</v>
      </c>
      <c r="F44" s="2" t="s">
        <v>18</v>
      </c>
      <c r="G44" s="4" t="s">
        <v>168</v>
      </c>
    </row>
    <row r="45" customFormat="false" ht="15" hidden="false" customHeight="false" outlineLevel="0" collapsed="false">
      <c r="A45" s="2" t="s">
        <v>169</v>
      </c>
      <c r="B45" s="2" t="s">
        <v>170</v>
      </c>
      <c r="C45" s="2" t="s">
        <v>171</v>
      </c>
      <c r="D45" s="2" t="s">
        <v>135</v>
      </c>
      <c r="E45" s="2" t="str">
        <f aca="false">VLOOKUP(fantasycypherrs[[#This Row],[Cypher Name]],Sheet1!E:O,11,FALSE())</f>
        <v>Détonation (Perturbation de la Matière)</v>
      </c>
      <c r="F45" s="4" t="s">
        <v>18</v>
      </c>
      <c r="G45" s="2" t="str">
        <f aca="false">VLOOKUP(fantasycypherrs[[#This Row],[Cypher Name]],Sheet1!E:O,2,FALSE())</f>
        <v>Projette un petit explosif physique jusqu'à  longue distance qui explose dans un rayon immédiat, libérant des nanites qui réarrangent la matière de manière aléatoire. Inflige des dégâts égaux au niveau du cypher.</v>
      </c>
    </row>
    <row r="46" customFormat="false" ht="15" hidden="false" customHeight="false" outlineLevel="0" collapsed="false">
      <c r="A46" s="2" t="s">
        <v>172</v>
      </c>
      <c r="B46" s="2" t="s">
        <v>173</v>
      </c>
      <c r="C46" s="2" t="s">
        <v>174</v>
      </c>
      <c r="D46" s="2" t="s">
        <v>135</v>
      </c>
      <c r="E46" s="2" t="str">
        <f aca="false">VLOOKUP(fantasycypherrs[[#This Row],[Cypher Name]],Sheet1!E:O,11,FALSE())</f>
        <v>Détonation (Pression)</v>
      </c>
      <c r="F46" s="2" t="str">
        <f aca="false">VLOOKUP(fantasycypherrs[[#This Row],[Cypher Name]],Sheet1!E:O,5,FALSE())</f>
        <v>1d6 + 2</v>
      </c>
      <c r="G46" s="2" t="str">
        <f aca="false">VLOOKUP(fantasycypherrs[[#This Row],[Cypher Name]],Sheet1!E:O,2,FALSE())</f>
        <v>Projette un petit explosif physique jusqu'à  longue distance qui explose dans un rayon immédiat, infligeant des dégâts d'impact égaux au niveau du cypher. Déplace également les objets non surveillés hors de la zone s'ils pèsent moins de 20 livres (9 kg) par niveau du cypher.</v>
      </c>
    </row>
    <row r="47" customFormat="false" ht="15" hidden="false" customHeight="false" outlineLevel="0" collapsed="false">
      <c r="A47" s="2" t="s">
        <v>175</v>
      </c>
      <c r="B47" s="2" t="s">
        <v>176</v>
      </c>
      <c r="C47" s="2" t="s">
        <v>177</v>
      </c>
      <c r="D47" s="2" t="s">
        <v>72</v>
      </c>
      <c r="E47" s="4" t="s">
        <v>178</v>
      </c>
      <c r="F47" s="2" t="s">
        <v>18</v>
      </c>
      <c r="G47" s="2" t="s">
        <v>105</v>
      </c>
    </row>
    <row r="48" customFormat="false" ht="15" hidden="false" customHeight="false" outlineLevel="0" collapsed="false">
      <c r="A48" s="2" t="s">
        <v>179</v>
      </c>
      <c r="B48" s="2"/>
      <c r="C48" s="2" t="s">
        <v>180</v>
      </c>
      <c r="D48" s="2" t="s">
        <v>135</v>
      </c>
      <c r="E48" s="2" t="str">
        <f aca="false">VLOOKUP(fantasycypherrs[[#This Row],[Cypher Name]],Sheet1!E:O,11,FALSE())</f>
        <v>Détonation (Singularité)</v>
      </c>
      <c r="F48" s="2" t="n">
        <f aca="false">VLOOKUP(fantasycypherrs[[#This Row],[Cypher Name]],Sheet1!E:O,5,FALSE())</f>
        <v>10</v>
      </c>
      <c r="G48" s="2" t="str">
        <f aca="false">VLOOKUP(fantasycypherrs[[#This Row],[Cypher Name]],Sheet1!E:O,2,FALSE())</f>
        <v>Projette un petit explosif physique jusqu'à  longue distance qui explose et crée une singularité momentanée qui déchire le tissu de l'univers. Inflige 20 points de dégâts à  tous ceux dans un rayon court, les attirant (ou leurs restes) vers un rayon immédiat (si possible). Les personnages joueurs dans le rayon qui échouent à  un jet de défense en Puissance descendent d'un cran sur la piste de dégâts.</v>
      </c>
    </row>
    <row r="49" customFormat="false" ht="15" hidden="false" customHeight="false" outlineLevel="0" collapsed="false">
      <c r="A49" s="2" t="s">
        <v>181</v>
      </c>
      <c r="B49" s="2"/>
      <c r="C49" s="2" t="s">
        <v>182</v>
      </c>
      <c r="D49" s="2" t="s">
        <v>135</v>
      </c>
      <c r="E49" s="2" t="str">
        <f aca="false">VLOOKUP(fantasycypherrs[[#This Row],[Cypher Name]],Sheet1!E:O,11,FALSE())</f>
        <v>Détonation (Sonique)</v>
      </c>
      <c r="F49" s="2" t="str">
        <f aca="false">VLOOKUP(fantasycypherrs[[#This Row],[Cypher Name]],Sheet1!E:O,5,FALSE())</f>
        <v>1d6 + 2</v>
      </c>
      <c r="G49" s="2" t="str">
        <f aca="false">VLOOKUP(fantasycypherrs[[#This Row],[Cypher Name]],Sheet1!E:O,2,FALSE())</f>
        <v>Projette un petit explosif physique jusqu'à  longue distance qui explose avec un bruit terrifiant, rendant sourds tous ceux dans un rayon immédiat pendant dix minutes par niveau du cypher.</v>
      </c>
    </row>
    <row r="50" customFormat="false" ht="15" hidden="false" customHeight="false" outlineLevel="0" collapsed="false">
      <c r="A50" s="2" t="s">
        <v>183</v>
      </c>
      <c r="B50" s="2" t="s">
        <v>184</v>
      </c>
      <c r="C50" s="2" t="s">
        <v>185</v>
      </c>
      <c r="D50" s="2" t="s">
        <v>135</v>
      </c>
      <c r="E50" s="4" t="s">
        <v>186</v>
      </c>
      <c r="F50" s="4" t="s">
        <v>18</v>
      </c>
      <c r="G50" s="2" t="s">
        <v>187</v>
      </c>
    </row>
    <row r="51" customFormat="false" ht="15" hidden="false" customHeight="false" outlineLevel="0" collapsed="false">
      <c r="A51" s="2" t="s">
        <v>188</v>
      </c>
      <c r="B51" s="2" t="s">
        <v>189</v>
      </c>
      <c r="C51" s="2" t="s">
        <v>190</v>
      </c>
      <c r="D51" s="2" t="s">
        <v>135</v>
      </c>
      <c r="E51" s="4" t="s">
        <v>191</v>
      </c>
      <c r="F51" s="4" t="s">
        <v>18</v>
      </c>
      <c r="G51" s="2" t="s">
        <v>192</v>
      </c>
    </row>
    <row r="52" customFormat="false" ht="15" hidden="false" customHeight="false" outlineLevel="0" collapsed="false">
      <c r="A52" s="2" t="s">
        <v>193</v>
      </c>
      <c r="B52" s="2" t="s">
        <v>194</v>
      </c>
      <c r="C52" s="2" t="s">
        <v>195</v>
      </c>
      <c r="D52" s="2" t="s">
        <v>135</v>
      </c>
      <c r="E52" s="4" t="s">
        <v>196</v>
      </c>
      <c r="F52" s="4" t="s">
        <v>18</v>
      </c>
      <c r="G52" s="2" t="s">
        <v>197</v>
      </c>
    </row>
    <row r="53" customFormat="false" ht="15" hidden="false" customHeight="false" outlineLevel="0" collapsed="false">
      <c r="A53" s="2" t="s">
        <v>198</v>
      </c>
      <c r="B53" s="2" t="s">
        <v>199</v>
      </c>
      <c r="C53" s="2" t="s">
        <v>200</v>
      </c>
      <c r="D53" s="2" t="s">
        <v>135</v>
      </c>
      <c r="E53" s="4" t="s">
        <v>201</v>
      </c>
      <c r="F53" s="4" t="s">
        <v>18</v>
      </c>
      <c r="G53" s="2" t="s">
        <v>202</v>
      </c>
    </row>
    <row r="54" customFormat="false" ht="15" hidden="false" customHeight="false" outlineLevel="0" collapsed="false">
      <c r="A54" s="2" t="s">
        <v>203</v>
      </c>
      <c r="B54" s="2" t="s">
        <v>204</v>
      </c>
      <c r="C54" s="2" t="s">
        <v>205</v>
      </c>
      <c r="D54" s="2" t="s">
        <v>135</v>
      </c>
      <c r="E54" s="4" t="s">
        <v>206</v>
      </c>
      <c r="F54" s="4" t="s">
        <v>18</v>
      </c>
      <c r="G54" s="2" t="s">
        <v>207</v>
      </c>
    </row>
    <row r="55" customFormat="false" ht="15" hidden="false" customHeight="false" outlineLevel="0" collapsed="false">
      <c r="A55" s="2" t="s">
        <v>208</v>
      </c>
      <c r="B55" s="2" t="s">
        <v>209</v>
      </c>
      <c r="C55" s="2" t="s">
        <v>210</v>
      </c>
      <c r="D55" s="2" t="s">
        <v>135</v>
      </c>
      <c r="E55" s="4" t="s">
        <v>211</v>
      </c>
      <c r="F55" s="4" t="s">
        <v>18</v>
      </c>
      <c r="G55" s="2" t="s">
        <v>212</v>
      </c>
    </row>
    <row r="56" customFormat="false" ht="15" hidden="false" customHeight="false" outlineLevel="0" collapsed="false">
      <c r="A56" s="2" t="s">
        <v>213</v>
      </c>
      <c r="B56" s="2" t="s">
        <v>214</v>
      </c>
      <c r="C56" s="2" t="s">
        <v>215</v>
      </c>
      <c r="D56" s="2" t="s">
        <v>135</v>
      </c>
      <c r="E56" s="2" t="str">
        <f aca="false">VLOOKUP(fantasycypherrs[[#This Row],[Cypher Name]],Sheet1!E:O,11,FALSE())</f>
        <v>Détonation (Toile)</v>
      </c>
      <c r="F56" s="2" t="str">
        <f aca="false">VLOOKUP(fantasycypherrs[[#This Row],[Cypher Name]],Sheet1!E:O,5,FALSE())</f>
        <v>1d6 + 2</v>
      </c>
      <c r="G56" s="2" t="str">
        <f aca="false">VLOOKUP(fantasycypherrs[[#This Row],[Cypher Name]],Sheet1!E:O,2,FALSE())</f>
        <v>Projette un petit explosif physique jusqu'à  longue distance qui explose dans un rayon immédiat et crée des filaments collants. Les PJ pris dans la zone doivent réussir une action basée sur la Puissance pour s'en sortir, avec une difficulté déterminée par le niveau du cypher. Les PNJ se libèrent si leur niveau est supérieur à  celui du cypher.</v>
      </c>
    </row>
    <row r="57" customFormat="false" ht="15" hidden="false" customHeight="false" outlineLevel="0" collapsed="false">
      <c r="A57" s="2" t="s">
        <v>216</v>
      </c>
      <c r="B57" s="2"/>
      <c r="C57" s="2" t="s">
        <v>217</v>
      </c>
      <c r="D57" s="2" t="s">
        <v>135</v>
      </c>
      <c r="E57" s="2" t="str">
        <f aca="false">VLOOKUP(fantasycypherrs[[#This Row],[Cypher Name]],Sheet1!E:O,11,FALSE())</f>
        <v>Désarmement</v>
      </c>
      <c r="F57" s="2" t="str">
        <f aca="false">VLOOKUP(fantasycypherrs[[#This Row],[Cypher Name]],Sheet1!E:O,5,FALSE())</f>
        <v>1d6 + 1</v>
      </c>
      <c r="G57" s="2" t="str">
        <f aca="false">VLOOKUP(fantasycypherrs[[#This Row],[Cypher Name]],Sheet1!E:O,2,FALSE())</f>
        <v>Un PNJ dans un rayon immédiat dont le niveau est inférieur à  celui du cypher laisse tomber ce qu'il tient.</v>
      </c>
    </row>
    <row r="58" customFormat="false" ht="15" hidden="false" customHeight="false" outlineLevel="0" collapsed="false">
      <c r="A58" s="2" t="s">
        <v>218</v>
      </c>
      <c r="B58" s="2"/>
      <c r="C58" s="2" t="s">
        <v>219</v>
      </c>
      <c r="D58" s="2" t="s">
        <v>220</v>
      </c>
      <c r="E58" s="2" t="str">
        <f aca="false">VLOOKUP(fantasycypherrs[[#This Row],[Cypher Name]],Sheet1!E:O,11,FALSE())</f>
        <v>Module de Déguisement</v>
      </c>
      <c r="F58" s="2" t="str">
        <f aca="false">VLOOKUP(fantasycypherrs[[#This Row],[Cypher Name]],Sheet1!E:O,5,FALSE())</f>
        <v>1d6 + 2</v>
      </c>
      <c r="G58" s="2" t="str">
        <f aca="false">VLOOKUP(fantasycypherrs[[#This Row],[Cypher Name]],Sheet1!E:O,2,FALSE())</f>
        <v>Pendant les dix minutes suivantes par niveau du cypher, les traits de l'utilisateur deviennent presque identiques à  ceux d'une personne désignée avec laquelle il a déjà  interagi, facilitant de deux crans les tentatives de se faire passer pour cette personne. Une fois désignée, l'utilisateur ne peut plus modifier l'effet pour ressembler à  une autre personne, bien qu'il puisse retirer le module pour retrouver son apparence avant la fin de la durée.</v>
      </c>
    </row>
    <row r="59" customFormat="false" ht="15" hidden="false" customHeight="false" outlineLevel="0" collapsed="false">
      <c r="A59" s="2" t="s">
        <v>221</v>
      </c>
      <c r="B59" s="2"/>
      <c r="C59" s="2" t="s">
        <v>222</v>
      </c>
      <c r="D59" s="2" t="s">
        <v>220</v>
      </c>
      <c r="E59" s="2" t="str">
        <f aca="false">VLOOKUP(fantasycypherrs[[#This Row],[Cypher Name]],Sheet1!E:O,11,FALSE())</f>
        <v>Perturbation</v>
      </c>
      <c r="F59" s="2" t="str">
        <f aca="false">VLOOKUP(fantasycypherrs[[#This Row],[Cypher Name]],Sheet1!E:O,5,FALSE())</f>
        <v>1d6</v>
      </c>
      <c r="G59" s="2" t="str">
        <f aca="false">VLOOKUP(fantasycypherrs[[#This Row],[Cypher Name]],Sheet1!E:O,2,FALSE())</f>
        <v>Pour la prochaine journée, chaque fois que l'utilisateur frappe une créature solide ou un objet, l'attaque génère une explosion de nanites qui attaquent directement ses cellules organiques. La cible subit 1 point de dégât supplémentaire. Si le niveau de la cible est inférieur à  celui du cypher, elle perd sa prochaine action ; sinon, sa prochaine action est entravée.</v>
      </c>
    </row>
    <row r="60" customFormat="false" ht="15" hidden="false" customHeight="false" outlineLevel="0" collapsed="false">
      <c r="A60" s="2" t="s">
        <v>223</v>
      </c>
      <c r="B60" s="2"/>
      <c r="C60" s="2" t="s">
        <v>224</v>
      </c>
      <c r="D60" s="2" t="s">
        <v>220</v>
      </c>
      <c r="E60" s="2" t="str">
        <f aca="false">VLOOKUP(fantasycypherrs[[#This Row],[Cypher Name]],Sheet1!E:O,11,FALSE())</f>
        <v>Oeil d'Aigle</v>
      </c>
      <c r="F60" s="2" t="str">
        <f aca="false">VLOOKUP(fantasycypherrs[[#This Row],[Cypher Name]],Sheet1!E:O,5,FALSE())</f>
        <v>1d6</v>
      </c>
      <c r="G60" s="2" t="str">
        <f aca="false">VLOOKUP(fantasycypherrs[[#This Row],[Cypher Name]],Sheet1!E:O,2,FALSE())</f>
        <v>Donne la capacité de voir dix fois plus loin que la normale pendant une heure par niveau du cypher. (Pour un jeu plus réaliste, le cypher Å“il d'aigle pourrait à  la place accorder deux atouts pour les tâches impliquant la vision à  longue distance.)</v>
      </c>
    </row>
    <row r="61" customFormat="false" ht="15" hidden="false" customHeight="false" outlineLevel="0" collapsed="false">
      <c r="A61" s="2" t="s">
        <v>225</v>
      </c>
      <c r="B61" s="2"/>
      <c r="C61" s="2" t="s">
        <v>226</v>
      </c>
      <c r="D61" s="2" t="s">
        <v>220</v>
      </c>
      <c r="E61" s="2" t="str">
        <f aca="false">VLOOKUP(fantasycypherrs[[#This Row],[Cypher Name]],Sheet1!E:O,11,FALSE())</f>
        <v>Résistance aux Effets</v>
      </c>
      <c r="F61" s="2" t="str">
        <f aca="false">VLOOKUP(fantasycypherrs[[#This Row],[Cypher Name]],Sheet1!E:O,5,FALSE())</f>
        <v>1d6 + 1</v>
      </c>
      <c r="G61" s="2" t="str">
        <f aca="false">VLOOKUP(fantasycypherrs[[#This Row],[Cypher Name]],Sheet1!E:O,2,FALSE())</f>
        <v>Fournit une chance de résistance supplémentaire aux effets directement dommageables de toutes sortes, tels que le feu, la foudre, etc., pendant une journée. (Cela ne fournit pas de résistance contre les attaques contondantes, tranchantes ou perforantes.) Si le niveau de l'effet est inférieur ou égal à  celui du cypher, l'utilisateur obtient un jet de défense supplémentaire pour l'éviter. En cas de réussite, l'attaque est traitée comme si l'utilisateur avait réussi son jet de défense habituel. (Si l'utilisateur est un PNJ, un PJ qui l'attaque avec ce genre d'effet doit réussir deux jets d'attaque pour lui infliger des dégâts.)</v>
      </c>
    </row>
    <row r="62" customFormat="false" ht="15" hidden="false" customHeight="false" outlineLevel="0" collapsed="false">
      <c r="A62" s="2" t="s">
        <v>227</v>
      </c>
      <c r="B62" s="2"/>
      <c r="C62" s="2" t="s">
        <v>228</v>
      </c>
      <c r="D62" s="2" t="s">
        <v>220</v>
      </c>
      <c r="E62" s="2" t="str">
        <f aca="false">VLOOKUP(fantasycypherrs[[#This Row],[Cypher Name]],Sheet1!E:O,11,FALSE())</f>
        <v>Amplificateur d'Effort (Combat)</v>
      </c>
      <c r="F62" s="2" t="str">
        <f aca="false">VLOOKUP(fantasycypherrs[[#This Row],[Cypher Name]],Sheet1!E:O,5,FALSE())</f>
        <v>1d6 + 1</v>
      </c>
      <c r="G62" s="2" t="str">
        <f aca="false">VLOOKUP(fantasycypherrs[[#This Row],[Cypher Name]],Sheet1!E:O,2,FALSE())</f>
        <v>Pour l'heure suivante, l'utilisateur peut appliquer un niveau gratuit d'Effort à  n'importe quelle tâche (y compris une tâche de combat) sans dépenser de points de Réserve. Le niveau gratuit d'Effort fourni par ce cypher ne compte pas dans le maximum d'Effort qu'un personnage peut normalement appliquer à  une tâche. Une fois ce niveau gratuit d'Effort utilisé, l'effet du cypher prend fin.</v>
      </c>
    </row>
    <row r="63" customFormat="false" ht="15" hidden="false" customHeight="false" outlineLevel="0" collapsed="false">
      <c r="A63" s="2" t="s">
        <v>229</v>
      </c>
      <c r="B63" s="2"/>
      <c r="C63" s="2" t="s">
        <v>230</v>
      </c>
      <c r="D63" s="2" t="s">
        <v>220</v>
      </c>
      <c r="E63" s="2" t="str">
        <f aca="false">VLOOKUP(fantasycypherrs[[#This Row],[Cypher Name]],Sheet1!E:O,11,FALSE())</f>
        <v>Amplificateur d'Effort (Non-combat)</v>
      </c>
      <c r="F63" s="2" t="str">
        <f aca="false">VLOOKUP(fantasycypherrs[[#This Row],[Cypher Name]],Sheet1!E:O,5,FALSE())</f>
        <v>1d6</v>
      </c>
      <c r="G63" s="2" t="str">
        <f aca="false">VLOOKUP(fantasycypherrs[[#This Row],[Cypher Name]],Sheet1!E:O,2,FALSE())</f>
        <v>Pour l'heure suivante, l'utilisateur peut appliquer un niveau gratuit d'Effort à  une tâche non-combat sans dépenser de points de Réserve. Le niveau d'Effort fourni par ce cypher ne compte pas dans le maximum d'Effort qu'un personnage peut normalement appliquer à  une tâche. Une fois ce niveau gratuit d'Effort utilisé, l'effet du cypher prend fin.</v>
      </c>
    </row>
    <row r="64" customFormat="false" ht="15" hidden="false" customHeight="false" outlineLevel="0" collapsed="false">
      <c r="A64" s="2" t="s">
        <v>231</v>
      </c>
      <c r="B64" s="2"/>
      <c r="C64" s="2" t="s">
        <v>232</v>
      </c>
      <c r="D64" s="2" t="s">
        <v>220</v>
      </c>
      <c r="E64" s="2" t="str">
        <f aca="false">VLOOKUP(fantasycypherrs[[#This Row],[Cypher Name]],Sheet1!E:O,11,FALSE())</f>
        <v>Bouclier Durable</v>
      </c>
      <c r="F64" s="2" t="str">
        <f aca="false">VLOOKUP(fantasycypherrs[[#This Row],[Cypher Name]],Sheet1!E:O,5,FALSE())</f>
        <v>1d6 + 4</v>
      </c>
      <c r="G64" s="2" t="str">
        <f aca="false">VLOOKUP(fantasycypherrs[[#This Row],[Cypher Name]],Sheet1!E:O,2,FALSE())</f>
        <v>Pour la prochaine journée, l'utilisateur bénéficie d'un atout pour les jets de défense en Célérité.</v>
      </c>
    </row>
    <row r="65" customFormat="false" ht="15" hidden="false" customHeight="false" outlineLevel="0" collapsed="false">
      <c r="A65" s="2" t="s">
        <v>233</v>
      </c>
      <c r="B65" s="2"/>
      <c r="C65" s="2" t="s">
        <v>234</v>
      </c>
      <c r="D65" s="2" t="s">
        <v>220</v>
      </c>
      <c r="E65" s="2" t="str">
        <f aca="false">VLOOKUP(fantasycypherrs[[#This Row],[Cypher Name]],Sheet1!E:O,11,FALSE())</f>
        <v>Cache d'Equipement</v>
      </c>
      <c r="F65" s="2" t="str">
        <f aca="false">VLOOKUP(fantasycypherrs[[#This Row],[Cypher Name]],Sheet1!E:O,5,FALSE())</f>
        <v>1d6 + 1</v>
      </c>
      <c r="G65" s="2" t="str">
        <f aca="false">VLOOKUP(fantasycypherrs[[#This Row],[Cypher Name]],Sheet1!E:O,2,FALSE())</f>
        <v>L'utilisateur peut fouiller dans le cypher et produire un équipement désiré (pas un artefact) dont le niveau ne dépasse pas celui du cypher. L'équipement persiste jusqu'à  une journée, sauf si sa nature fondamentale permet un usage unique (comme une grenade).</v>
      </c>
    </row>
    <row r="66" customFormat="false" ht="15" hidden="false" customHeight="false" outlineLevel="0" collapsed="false">
      <c r="A66" s="2" t="s">
        <v>235</v>
      </c>
      <c r="B66" s="2"/>
      <c r="C66" s="2" t="s">
        <v>236</v>
      </c>
      <c r="D66" s="2" t="s">
        <v>220</v>
      </c>
      <c r="E66" s="2" t="str">
        <f aca="false">VLOOKUP(fantasycypherrs[[#This Row],[Cypher Name]],Sheet1!E:O,11,FALSE())</f>
        <v>Vision à  Distance</v>
      </c>
      <c r="F66" s="2" t="str">
        <f aca="false">VLOOKUP(fantasycypherrs[[#This Row],[Cypher Name]],Sheet1!E:O,5,FALSE())</f>
        <v>1d6 + 1</v>
      </c>
      <c r="G66" s="2" t="str">
        <f aca="false">VLOOKUP(fantasycypherrs[[#This Row],[Cypher Name]],Sheet1!E:O,2,FALSE())</f>
        <v>L'utilisateur peut observer un endroit qu'il a déjà  visité, peu importe la distance (màême à  travers des galaxies). Cette vision persiste pendant dix minutes par niveau du cypher. Le personnage peut alterner entre la vision de cet endroit et celle de son emplacement actuel une fois par round.</v>
      </c>
    </row>
    <row r="67" customFormat="false" ht="15" hidden="false" customHeight="false" outlineLevel="0" collapsed="false">
      <c r="A67" s="2" t="s">
        <v>237</v>
      </c>
      <c r="B67" s="2"/>
      <c r="C67" s="2" t="s">
        <v>238</v>
      </c>
      <c r="D67" s="2" t="s">
        <v>220</v>
      </c>
      <c r="E67" s="2" t="str">
        <f aca="false">VLOOKUP(fantasycypherrs[[#This Row],[Cypher Name]],Sheet1!E:O,11,FALSE())</f>
        <v>Résistance au Feu</v>
      </c>
      <c r="F67" s="2" t="str">
        <f aca="false">VLOOKUP(fantasycypherrs[[#This Row],[Cypher Name]],Sheet1!E:O,5,FALSE())</f>
        <v>1d6 + 4</v>
      </c>
      <c r="G67" s="2" t="str">
        <f aca="false">VLOOKUP(fantasycypherrs[[#This Row],[Cypher Name]],Sheet1!E:O,2,FALSE())</f>
        <v>Un objet inanimé traité par ce cypher bénéficie d'une Armure contre les dégâts de feu égale au niveau du cypher pendant une journée.</v>
      </c>
    </row>
    <row r="68" customFormat="false" ht="15" hidden="false" customHeight="false" outlineLevel="0" collapsed="false">
      <c r="A68" s="2" t="s">
        <v>239</v>
      </c>
      <c r="B68" s="2"/>
      <c r="C68" s="2" t="s">
        <v>240</v>
      </c>
      <c r="D68" s="2" t="s">
        <v>220</v>
      </c>
      <c r="E68" s="2" t="str">
        <f aca="false">VLOOKUP(fantasycypherrs[[#This Row],[Cypher Name]],Sheet1!E:O,11,FALSE())</f>
        <v>Mur Ignifuge</v>
      </c>
      <c r="F68" s="2" t="str">
        <f aca="false">VLOOKUP(fantasycypherrs[[#This Row],[Cypher Name]],Sheet1!E:O,5,FALSE())</f>
        <v>1d6</v>
      </c>
      <c r="G68" s="2" t="str">
        <f aca="false">VLOOKUP(fantasycypherrs[[#This Row],[Cypher Name]],Sheet1!E:O,2,FALSE())</f>
        <v>Crée un plan immobile d'énergie perméable mesurant jusqu'à  6 m par 6 m (20 pieds par 20 pieds) pendant une heure par niveau du cypher. Le plan se conforme à  l'espace disponible. Les flammes passant à  travers le plan sont éteintes.</v>
      </c>
    </row>
    <row r="69" customFormat="false" ht="15" hidden="false" customHeight="false" outlineLevel="0" collapsed="false">
      <c r="A69" s="2" t="s">
        <v>241</v>
      </c>
      <c r="B69" s="2"/>
      <c r="C69" s="2" t="s">
        <v>242</v>
      </c>
      <c r="D69" s="2" t="s">
        <v>220</v>
      </c>
      <c r="E69" s="2" t="str">
        <f aca="false">VLOOKUP(fantasycypherrs[[#This Row],[Cypher Name]],Sheet1!E:O,11,FALSE())</f>
        <v>Cube de Force</v>
      </c>
      <c r="F69" s="2" t="str">
        <f aca="false">VLOOKUP(fantasycypherrs[[#This Row],[Cypher Name]],Sheet1!E:O,5,FALSE())</f>
        <v>1d6 + 3</v>
      </c>
      <c r="G69" s="2" t="str">
        <f aca="false">VLOOKUP(fantasycypherrs[[#This Row],[Cypher Name]],Sheet1!E:O,2,FALSE())</f>
        <v>Crée un cube immobile composé de six plans de force solide, chacun mesurant 9 m (30 pieds) de côté, pendant une heure. Les plans se conforment à  l'espace disponible. (Bien que les murs d'un cube de force ne soient pas perméables à  l'air, il y a probablement suffisamment d'air à  l'intérieur pour que les créatures piégées puissent respirer pendant l'heure que dure l'effet.)</v>
      </c>
    </row>
    <row r="70" customFormat="false" ht="15" hidden="false" customHeight="false" outlineLevel="0" collapsed="false">
      <c r="A70" s="2" t="s">
        <v>243</v>
      </c>
      <c r="B70" s="2"/>
      <c r="C70" s="2" t="s">
        <v>244</v>
      </c>
      <c r="D70" s="2" t="s">
        <v>245</v>
      </c>
      <c r="E70" s="2" t="str">
        <f aca="false">VLOOKUP(fantasycypherrs[[#This Row],[Cypher Name]],Sheet1!E:O,11,FALSE())</f>
        <v>Champ de Force</v>
      </c>
      <c r="F70" s="2" t="str">
        <f aca="false">VLOOKUP(fantasycypherrs[[#This Row],[Cypher Name]],Sheet1!E:O,5,FALSE())</f>
        <v>1d6</v>
      </c>
      <c r="G70" s="2" t="str">
        <f aca="false">VLOOKUP(fantasycypherrs[[#This Row],[Cypher Name]],Sheet1!E:O,2,FALSE())</f>
        <v>Pour la prochaine journée, l'utilisateur est entouré d'un puissant champ de force, lui accordant +1 à  l'Armure (+2 à  l'Armure si le niveau du cypher est 5 ou plus).</v>
      </c>
    </row>
    <row r="71" customFormat="false" ht="15" hidden="false" customHeight="false" outlineLevel="0" collapsed="false">
      <c r="A71" s="2" t="s">
        <v>246</v>
      </c>
      <c r="B71" s="2"/>
      <c r="C71" s="2" t="s">
        <v>247</v>
      </c>
      <c r="D71" s="2" t="s">
        <v>245</v>
      </c>
      <c r="E71" s="2" t="str">
        <f aca="false">VLOOKUP(fantasycypherrs[[#This Row],[Cypher Name]],Sheet1!E:O,11,FALSE())</f>
        <v>Projecteur d'Ecran de Force</v>
      </c>
      <c r="F71" s="2" t="str">
        <f aca="false">VLOOKUP(fantasycypherrs[[#This Row],[Cypher Name]],Sheet1!E:O,5,FALSE())</f>
        <v>1d6 + 3</v>
      </c>
      <c r="G71" s="2" t="str">
        <f aca="false">VLOOKUP(fantasycypherrs[[#This Row],[Cypher Name]],Sheet1!E:O,2,FALSE())</f>
        <v>Crée un plan immobile de force solide mesurant jusqu'à  6 m par 6 m (20 pieds par 20 pieds) pendant une heure. Le plan se conforme à  l'espace disponible.</v>
      </c>
    </row>
    <row r="72" customFormat="false" ht="15" hidden="false" customHeight="false" outlineLevel="0" collapsed="false">
      <c r="A72" s="2" t="s">
        <v>248</v>
      </c>
      <c r="B72" s="2"/>
      <c r="C72" s="2" t="s">
        <v>249</v>
      </c>
      <c r="D72" s="2" t="s">
        <v>245</v>
      </c>
      <c r="E72" s="2" t="str">
        <f aca="false">VLOOKUP(fantasycypherrs[[#This Row],[Cypher Name]],Sheet1!E:O,11,FALSE())</f>
        <v>Projecteur de Bouclier de Force</v>
      </c>
      <c r="F72" s="2" t="str">
        <f aca="false">VLOOKUP(fantasycypherrs[[#This Row],[Cypher Name]],Sheet1!E:O,5,FALSE())</f>
        <v>1d6 + 3</v>
      </c>
      <c r="G72" s="2" t="str">
        <f aca="false">VLOOKUP(fantasycypherrs[[#This Row],[Cypher Name]],Sheet1!E:O,2,FALSE())</f>
        <v>Crée un bouclier d'énergie scintillant autour de l'utilisateur pendant une heure, durant laquelle il bénéficie de +3 à  l'Armure (ou +4 à  l'Armure si le cypher est de niveau 5 ou plus).</v>
      </c>
    </row>
    <row r="73" customFormat="false" ht="15" hidden="false" customHeight="false" outlineLevel="0" collapsed="false">
      <c r="A73" s="2" t="s">
        <v>250</v>
      </c>
      <c r="B73" s="2"/>
      <c r="C73" s="2" t="s">
        <v>251</v>
      </c>
      <c r="D73" s="2" t="s">
        <v>245</v>
      </c>
      <c r="E73" s="2" t="str">
        <f aca="false">VLOOKUP(fantasycypherrs[[#This Row],[Cypher Name]],Sheet1!E:O,11,FALSE())</f>
        <v>Réducteur de Friction</v>
      </c>
      <c r="F73" s="2" t="str">
        <f aca="false">VLOOKUP(fantasycypherrs[[#This Row],[Cypher Name]],Sheet1!E:O,5,FALSE())</f>
        <v>1d6</v>
      </c>
      <c r="G73" s="2" t="str">
        <f aca="false">VLOOKUP(fantasycypherrs[[#This Row],[Cypher Name]],Sheet1!E:O,2,FALSE())</f>
        <v>Répandu sur une zone allant jusqu'à  3 m carrés (10 pieds carrés), cela rend les choses extràêmement glissantes. Pendant une heure par niveau du cypher, les tâches de mouvement dans la zone sont entravées de trois niveaux.</v>
      </c>
    </row>
    <row r="74" customFormat="false" ht="15" hidden="false" customHeight="false" outlineLevel="0" collapsed="false">
      <c r="A74" s="2" t="s">
        <v>252</v>
      </c>
      <c r="B74" s="2"/>
      <c r="C74" s="2" t="s">
        <v>253</v>
      </c>
      <c r="D74" s="2" t="s">
        <v>245</v>
      </c>
      <c r="E74" s="2" t="str">
        <f aca="false">VLOOKUP(fantasycypherrs[[#This Row],[Cypher Name]],Sheet1!E:O,11,FALSE())</f>
        <v>Mur Frigorifique</v>
      </c>
      <c r="F74" s="2" t="str">
        <f aca="false">VLOOKUP(fantasycypherrs[[#This Row],[Cypher Name]],Sheet1!E:O,5,FALSE())</f>
        <v>1d6 + 2</v>
      </c>
      <c r="G74" s="2" t="str">
        <f aca="false">VLOOKUP(fantasycypherrs[[#This Row],[Cypher Name]],Sheet1!E:O,2,FALSE())</f>
        <v>Crée un mur d'air super-refroidi mesurant jusqu'à  9 m par 9 m par 30 cm (30 pieds par 30 pieds par 1 pied) qui inflige des dégâts égaux au niveau du cypher à  tout ce qui le traverse. Le mur se conforme à  l'espace disponible et dure dix minutes.</v>
      </c>
    </row>
    <row r="75" customFormat="false" ht="15" hidden="false" customHeight="false" outlineLevel="0" collapsed="false">
      <c r="A75" s="2" t="s">
        <v>254</v>
      </c>
      <c r="B75" s="2"/>
      <c r="C75" s="2" t="s">
        <v>255</v>
      </c>
      <c r="D75" s="2" t="s">
        <v>245</v>
      </c>
      <c r="E75" s="2" t="s">
        <v>256</v>
      </c>
      <c r="F75" s="2" t="s">
        <v>18</v>
      </c>
      <c r="G75" s="2" t="s">
        <v>257</v>
      </c>
    </row>
    <row r="76" customFormat="false" ht="15" hidden="false" customHeight="false" outlineLevel="0" collapsed="false">
      <c r="A76" s="2" t="s">
        <v>258</v>
      </c>
      <c r="B76" s="2"/>
      <c r="C76" s="2" t="s">
        <v>259</v>
      </c>
      <c r="D76" s="2" t="s">
        <v>245</v>
      </c>
      <c r="E76" s="2" t="s">
        <v>260</v>
      </c>
      <c r="F76" s="2" t="s">
        <v>18</v>
      </c>
      <c r="G76" s="2" t="s">
        <v>261</v>
      </c>
    </row>
    <row r="77" customFormat="false" ht="15" hidden="false" customHeight="false" outlineLevel="0" collapsed="false">
      <c r="A77" s="2" t="s">
        <v>262</v>
      </c>
      <c r="B77" s="2"/>
      <c r="C77" s="2" t="s">
        <v>263</v>
      </c>
      <c r="D77" s="2" t="s">
        <v>245</v>
      </c>
      <c r="E77" s="2" t="s">
        <v>264</v>
      </c>
      <c r="F77" s="2" t="s">
        <v>18</v>
      </c>
      <c r="G77" s="2" t="s">
        <v>265</v>
      </c>
    </row>
    <row r="78" customFormat="false" ht="15" hidden="false" customHeight="false" outlineLevel="0" collapsed="false">
      <c r="A78" s="2" t="s">
        <v>266</v>
      </c>
      <c r="B78" s="2"/>
      <c r="C78" s="2" t="s">
        <v>267</v>
      </c>
      <c r="D78" s="2" t="s">
        <v>245</v>
      </c>
      <c r="E78" s="2" t="s">
        <v>268</v>
      </c>
      <c r="F78" s="2" t="s">
        <v>18</v>
      </c>
      <c r="G78" s="2" t="s">
        <v>269</v>
      </c>
    </row>
    <row r="79" customFormat="false" ht="15" hidden="false" customHeight="false" outlineLevel="0" collapsed="false">
      <c r="A79" s="2" t="s">
        <v>270</v>
      </c>
      <c r="B79" s="2"/>
      <c r="C79" s="2" t="s">
        <v>271</v>
      </c>
      <c r="D79" s="2" t="s">
        <v>245</v>
      </c>
      <c r="E79" s="2" t="s">
        <v>272</v>
      </c>
      <c r="F79" s="2" t="s">
        <v>18</v>
      </c>
      <c r="G79" s="2" t="s">
        <v>273</v>
      </c>
    </row>
    <row r="80" customFormat="false" ht="15" hidden="false" customHeight="false" outlineLevel="0" collapsed="false">
      <c r="A80" s="2" t="s">
        <v>274</v>
      </c>
      <c r="B80" s="2"/>
      <c r="C80" s="2" t="s">
        <v>275</v>
      </c>
      <c r="D80" s="2" t="s">
        <v>245</v>
      </c>
      <c r="E80" s="2" t="s">
        <v>276</v>
      </c>
      <c r="F80" s="2" t="s">
        <v>18</v>
      </c>
      <c r="G80" s="2" t="s">
        <v>277</v>
      </c>
    </row>
    <row r="81" customFormat="false" ht="15" hidden="false" customHeight="false" outlineLevel="0" collapsed="false">
      <c r="A81" s="2" t="s">
        <v>278</v>
      </c>
      <c r="B81" s="2"/>
      <c r="C81" s="2" t="s">
        <v>279</v>
      </c>
      <c r="D81" s="2" t="s">
        <v>245</v>
      </c>
      <c r="E81" s="2" t="s">
        <v>280</v>
      </c>
      <c r="F81" s="2" t="s">
        <v>18</v>
      </c>
      <c r="G81" s="2" t="s">
        <v>281</v>
      </c>
    </row>
    <row r="82" customFormat="false" ht="15" hidden="false" customHeight="false" outlineLevel="0" collapsed="false">
      <c r="A82" s="2" t="s">
        <v>282</v>
      </c>
      <c r="B82" s="2"/>
      <c r="C82" s="2" t="s">
        <v>283</v>
      </c>
      <c r="D82" s="2" t="s">
        <v>245</v>
      </c>
      <c r="E82" s="2" t="s">
        <v>284</v>
      </c>
      <c r="F82" s="2" t="s">
        <v>18</v>
      </c>
      <c r="G82" s="2" t="s">
        <v>285</v>
      </c>
    </row>
    <row r="83" customFormat="false" ht="15" hidden="false" customHeight="false" outlineLevel="0" collapsed="false">
      <c r="A83" s="2" t="s">
        <v>286</v>
      </c>
      <c r="B83" s="2"/>
      <c r="C83" s="2" t="s">
        <v>287</v>
      </c>
      <c r="D83" s="2" t="s">
        <v>245</v>
      </c>
      <c r="E83" s="2" t="s">
        <v>288</v>
      </c>
      <c r="F83" s="2" t="s">
        <v>18</v>
      </c>
      <c r="G83" s="2" t="s">
        <v>289</v>
      </c>
    </row>
    <row r="84" customFormat="false" ht="15" hidden="false" customHeight="false" outlineLevel="0" collapsed="false">
      <c r="A84" s="2" t="s">
        <v>290</v>
      </c>
      <c r="B84" s="2"/>
      <c r="C84" s="2" t="s">
        <v>291</v>
      </c>
      <c r="D84" s="2" t="s">
        <v>245</v>
      </c>
      <c r="E84" s="2" t="s">
        <v>292</v>
      </c>
      <c r="F84" s="2" t="s">
        <v>18</v>
      </c>
      <c r="G84" s="2" t="s">
        <v>293</v>
      </c>
    </row>
    <row r="85" customFormat="false" ht="15" hidden="false" customHeight="false" outlineLevel="0" collapsed="false">
      <c r="A85" s="2" t="s">
        <v>294</v>
      </c>
      <c r="B85" s="2"/>
      <c r="C85" s="2" t="s">
        <v>295</v>
      </c>
      <c r="D85" s="2" t="s">
        <v>245</v>
      </c>
      <c r="E85" s="2" t="s">
        <v>296</v>
      </c>
      <c r="F85" s="2" t="s">
        <v>18</v>
      </c>
      <c r="G85" s="2" t="s">
        <v>297</v>
      </c>
    </row>
    <row r="86" customFormat="false" ht="15" hidden="false" customHeight="false" outlineLevel="0" collapsed="false">
      <c r="A86" s="2" t="s">
        <v>298</v>
      </c>
      <c r="B86" s="2"/>
      <c r="C86" s="2" t="s">
        <v>299</v>
      </c>
      <c r="D86" s="2" t="s">
        <v>300</v>
      </c>
      <c r="E86" s="2" t="str">
        <f aca="false">VLOOKUP(fantasycypherrs[[#This Row],[Cypher Name]],Sheet1!E:O,11,FALSE())</f>
        <v>Nullificateur de Gravité</v>
      </c>
      <c r="F86" s="2" t="str">
        <f aca="false">VLOOKUP(fantasycypherrs[[#This Row],[Cypher Name]],Sheet1!E:O,5,FALSE())</f>
        <v>1d6 + 3</v>
      </c>
      <c r="G86" s="2" t="str">
        <f aca="false">VLOOKUP(fantasycypherrs[[#This Row],[Cypher Name]],Sheet1!E:O,2,FALSE())</f>
        <v>Pendant une heure, l'utilisateur peut flotter dans les airs, se déplaà§ant verticalement d'une courte distance par round (mais pas horizontalement sans une autre action, comme se pousser contre un plafond). L'utilisateur doit peser moins de 23 kg (50 livres) par niveau du cypher.</v>
      </c>
    </row>
    <row r="87" customFormat="false" ht="15" hidden="false" customHeight="false" outlineLevel="0" collapsed="false">
      <c r="A87" s="2" t="s">
        <v>301</v>
      </c>
      <c r="B87" s="2"/>
      <c r="C87" s="2" t="s">
        <v>302</v>
      </c>
      <c r="D87" s="2" t="s">
        <v>300</v>
      </c>
      <c r="E87" s="2" t="str">
        <f aca="false">VLOOKUP(fantasycypherrs[[#This Row],[Cypher Name]],Sheet1!E:O,11,FALSE())</f>
        <v>Application Nullifiant la Gravité</v>
      </c>
      <c r="F87" s="2" t="str">
        <f aca="false">VLOOKUP(fantasycypherrs[[#This Row],[Cypher Name]],Sheet1!E:O,5,FALSE())</f>
        <v>1d6 + 2</v>
      </c>
      <c r="G87" s="2" t="str">
        <f aca="false">VLOOKUP(fantasycypherrs[[#This Row],[Cypher Name]],Sheet1!E:O,2,FALSE())</f>
        <v>Si un objet non vivant ne dépassant pas la taille d'un humain (deux humains si le niveau du cypher est 6 ou plus) est recouvert par ce cypher, il flotte à  une hauteur de 1d20 pieds dans les airs de manière permanente et n'a plus de poids s'il est porté (bien qu'il doive àêtre solidement attaché).</v>
      </c>
    </row>
    <row r="88" customFormat="false" ht="15" hidden="false" customHeight="false" outlineLevel="0" collapsed="false">
      <c r="A88" s="2" t="s">
        <v>303</v>
      </c>
      <c r="B88" s="2"/>
      <c r="C88" s="2" t="s">
        <v>304</v>
      </c>
      <c r="D88" s="2" t="s">
        <v>300</v>
      </c>
      <c r="E88" s="2" t="str">
        <f aca="false">VLOOKUP(fantasycypherrs[[#This Row],[Cypher Name]],Sheet1!E:O,11,FALSE())</f>
        <v>Attaque de Chaleur</v>
      </c>
      <c r="F88" s="2" t="str">
        <f aca="false">VLOOKUP(fantasycypherrs[[#This Row],[Cypher Name]],Sheet1!E:O,5,FALSE())</f>
        <v>1d6</v>
      </c>
      <c r="G88" s="2" t="str">
        <f aca="false">VLOOKUP(fantasycypherrs[[#This Row],[Cypher Name]],Sheet1!E:O,2,FALSE())</f>
        <v>Pendant la journée suivante, chaque fois que l'utilisateur frappe une créature ou un objet solide, l'attaque génère une explosion de chaleur qui inflige 2 points de dégâts supplémentaires.</v>
      </c>
    </row>
    <row r="89" customFormat="false" ht="15" hidden="false" customHeight="false" outlineLevel="0" collapsed="false">
      <c r="A89" s="2" t="s">
        <v>305</v>
      </c>
      <c r="B89" s="2"/>
      <c r="C89" s="2" t="s">
        <v>306</v>
      </c>
      <c r="D89" s="2" t="s">
        <v>300</v>
      </c>
      <c r="E89" s="2" t="str">
        <f aca="false">VLOOKUP(fantasycypherrs[[#This Row],[Cypher Name]],Sheet1!E:O,11,FALSE())</f>
        <v>Chasseur/Traqueur</v>
      </c>
      <c r="F89" s="2" t="str">
        <f aca="false">VLOOKUP(fantasycypherrs[[#This Row],[Cypher Name]],Sheet1!E:O,5,FALSE())</f>
        <v>1d6</v>
      </c>
      <c r="G89" s="2" t="str">
        <f aca="false">VLOOKUP(fantasycypherrs[[#This Row],[Cypher Name]],Sheet1!E:O,2,FALSE())</f>
        <v>Avec un mouvement à  longue portée, ce missile intelligent suit et attaque une cible spécifiée (la cible doit àêtre à  la vue lors de la sélection). S'il rate, il continue d'attaquer une fois supplémentaire par niveau de cypher jusqu'à  ce qu'il touche. Par exemple, un chasseur/traqueur de niveau 4 attaquera un maximum de cinq fois. Lancez un d100 pour déterminer le type d'attaque.</v>
      </c>
    </row>
    <row r="90" customFormat="false" ht="15" hidden="false" customHeight="false" outlineLevel="0" collapsed="false">
      <c r="A90" s="2" t="s">
        <v>307</v>
      </c>
      <c r="B90" s="2"/>
      <c r="C90" s="2" t="s">
        <v>308</v>
      </c>
      <c r="D90" s="2" t="s">
        <v>300</v>
      </c>
      <c r="E90" s="2" t="str">
        <f aca="false">VLOOKUP(fantasycypherrs[[#This Row],[Cypher Name]],Sheet1!E:O,11,FALSE())</f>
        <v>Projecteur d'Image</v>
      </c>
      <c r="F90" s="2" t="str">
        <f aca="false">VLOOKUP(fantasycypherrs[[#This Row],[Cypher Name]],Sheet1!E:O,5,FALSE())</f>
        <v>1d6</v>
      </c>
      <c r="G90" s="2" t="str">
        <f aca="false">VLOOKUP(fantasycypherrs[[#This Row],[Cypher Name]],Sheet1!E:O,2,FALSE())</f>
        <v>Projette l'une des images immobiles suivantes dans la zone décrite pendant une heure. L'image apparaît à  une distance proche de l'utilisateur (longue distance si le niveau du cypher est 4 ou plus, très longue distance si le niveau du cypher est 6 ou plus). Les scènes incluent mouvement, son et odeur. Lancez un d100 pour déterminer l'image.</v>
      </c>
    </row>
    <row r="91" customFormat="false" ht="15" hidden="false" customHeight="false" outlineLevel="0" collapsed="false">
      <c r="A91" s="2" t="s">
        <v>309</v>
      </c>
      <c r="B91" s="2"/>
      <c r="C91" s="2" t="s">
        <v>310</v>
      </c>
      <c r="D91" s="2" t="s">
        <v>300</v>
      </c>
      <c r="E91" s="2" t="str">
        <f aca="false">VLOOKUP(fantasycypherrs[[#This Row],[Cypher Name]],Sheet1!E:O,11,FALSE())</f>
        <v>Mur Infernal</v>
      </c>
      <c r="F91" s="2" t="str">
        <f aca="false">VLOOKUP(fantasycypherrs[[#This Row],[Cypher Name]],Sheet1!E:O,5,FALSE())</f>
        <v>1d6 + 2</v>
      </c>
      <c r="G91" s="2" t="str">
        <f aca="false">VLOOKUP(fantasycypherrs[[#This Row],[Cypher Name]],Sheet1!E:O,2,FALSE())</f>
        <v>Crée un mur de chaleur extràême mesurant jusqu'à  30 pieds par 30 pieds par 1 pied (9 m par 9 m par 30 cm) qui inflige des dégâts égaux au niveau du cypher à  tout ce qui passe à  travers. Le mur s'adapte à  l'espace disponible. Il dure dix minutes.</v>
      </c>
    </row>
    <row r="92" customFormat="false" ht="15" hidden="false" customHeight="false" outlineLevel="0" collapsed="false">
      <c r="A92" s="2" t="s">
        <v>311</v>
      </c>
      <c r="B92" s="2"/>
      <c r="C92" s="2" t="s">
        <v>312</v>
      </c>
      <c r="D92" s="2" t="s">
        <v>300</v>
      </c>
      <c r="E92" s="1" t="s">
        <v>313</v>
      </c>
      <c r="F92" s="2" t="str">
        <f aca="false">VLOOKUP(fantasycypherrs[[#This Row],[Cypher Name]],Sheet1!E:O,5,FALSE())</f>
        <v>1d6</v>
      </c>
      <c r="G92" s="2" t="str">
        <f aca="false">VLOOKUP(fantasycypherrs[[#This Row],[Cypher Name]],Sheet1!E:O,2,FALSE())</f>
        <v>Une petite capsule se lance et se déplace à  grande Célérité, cartographiant et scannant une zone inconnue. Elle se déplace de 500 pieds (150 m) par niveau, scannant une zone jusqu'à  50 pieds (15 m) à  partir de sa position. Elle identifie la disposition de base, les créatures et les principales sources d'énergie et transmet cette information à  l'utilisateur (peut-àêtre par télépathie ou signal électronique) ou revient à  l'utilisateur pour montrer ce qu'elle a vu. Son mouvement est bloqué par tout obstacle physique ou énergétique.</v>
      </c>
    </row>
    <row r="93" customFormat="false" ht="15" hidden="false" customHeight="false" outlineLevel="0" collapsed="false">
      <c r="A93" s="2" t="s">
        <v>314</v>
      </c>
      <c r="B93" s="2"/>
      <c r="C93" s="2" t="s">
        <v>315</v>
      </c>
      <c r="D93" s="2" t="s">
        <v>316</v>
      </c>
      <c r="E93" s="2" t="str">
        <f aca="false">VLOOKUP(fantasycypherrs[[#This Row],[Cypher Name]],Sheet1!E:O,11,FALSE())</f>
        <v>Capteur d'Information</v>
      </c>
      <c r="F93" s="2" t="str">
        <f aca="false">VLOOKUP(fantasycypherrs[[#This Row],[Cypher Name]],Sheet1!E:O,5,FALSE())</f>
        <v>1d6 + 2</v>
      </c>
      <c r="G93" s="2" t="str">
        <f aca="false">VLOOKUP(fantasycypherrs[[#This Row],[Cypher Name]],Sheet1!E:O,2,FALSE())</f>
        <v>Au cours d'une journée, l'utilisateur peut activer le cypher un nombre total de fois égal à  son niveau. Chaque fois, il peut sélectionner une créature vivante dans un long rayon et apprendre les informations suivantes à  son sujet : niveau, origine, espèce, nom, et possiblement d'autres faits (comme le score de crédit d'un individu, son adresse, son numéro de téléphone et des informations connexes).</v>
      </c>
    </row>
    <row r="94" customFormat="false" ht="15" hidden="false" customHeight="false" outlineLevel="0" collapsed="false">
      <c r="A94" s="2" t="s">
        <v>317</v>
      </c>
      <c r="B94" s="2"/>
      <c r="C94" s="2" t="s">
        <v>318</v>
      </c>
      <c r="D94" s="2" t="s">
        <v>316</v>
      </c>
      <c r="E94" s="2" t="str">
        <f aca="false">VLOOKUP(fantasycypherrs[[#This Row],[Cypher Name]],Sheet1!E:O,11,FALSE())</f>
        <v>Serviteur Instantané</v>
      </c>
      <c r="F94" s="2" t="str">
        <f aca="false">VLOOKUP(fantasycypherrs[[#This Row],[Cypher Name]],Sheet1!E:O,5,FALSE())</f>
        <v>1d6</v>
      </c>
      <c r="G94" s="2" t="str">
        <f aca="false">VLOOKUP(fantasycypherrs[[#This Row],[Cypher Name]],Sheet1!E:O,2,FALSE())</f>
        <v>Petit appareil s'étend en un automate humanoà¯de d'environ 2 pieds (60 cm) de haut. Son niveau est égal au niveau du cypher, et il peut comprendre les commandes verbales du personnage qui l'a activé. Une fois le serviteur activé, le commandement n'est pas une action. Il peut attaquer ou effectuer des actions comme ordonné au mieux de ses capacités, mais il ne peut pas parler.</v>
      </c>
    </row>
    <row r="95" customFormat="false" ht="15" hidden="false" customHeight="false" outlineLevel="0" collapsed="false">
      <c r="A95" s="2" t="s">
        <v>319</v>
      </c>
      <c r="B95" s="2"/>
      <c r="C95" s="2" t="s">
        <v>320</v>
      </c>
      <c r="D95" s="2" t="s">
        <v>316</v>
      </c>
      <c r="E95" s="2" t="str">
        <f aca="false">VLOOKUP(fantasycypherrs[[#This Row],[Cypher Name]],Sheet1!E:O,11,FALSE())</f>
        <v>Abri Instantané</v>
      </c>
      <c r="F95" s="2" t="str">
        <f aca="false">VLOOKUP(fantasycypherrs[[#This Row],[Cypher Name]],Sheet1!E:O,5,FALSE())</f>
        <v>1d6 + 3</v>
      </c>
      <c r="G95" s="2" t="str">
        <f aca="false">VLOOKUP(fantasycypherrs[[#This Row],[Cypher Name]],Sheet1!E:O,2,FALSE())</f>
        <v>Avec l'ajout d'eau et d'air, ce cypher s'étend en une simple structure d'une pièce avec une porte et une fenàêtre transparente (deux pièces avec une porte intérieure si le niveau du cypher est 7 ou plus). La structure mesure 10 pieds par 10 pieds par 20 pieds (3 m par 3 m par 6 m). Elle est fabriquée à  partir d'un matériau durable et non inflammable similaire au grès, et est permanente et immobile une fois créée.</v>
      </c>
    </row>
    <row r="96" customFormat="false" ht="15" hidden="false" customHeight="false" outlineLevel="0" collapsed="false">
      <c r="A96" s="2" t="s">
        <v>321</v>
      </c>
      <c r="B96" s="2"/>
      <c r="C96" s="2" t="s">
        <v>322</v>
      </c>
      <c r="D96" s="2" t="s">
        <v>316</v>
      </c>
      <c r="E96" s="2" t="str">
        <f aca="false">VLOOKUP(fantasycypherrs[[#This Row],[Cypher Name]],Sheet1!E:O,11,FALSE())</f>
        <v>Amplificateur d'Intellect</v>
      </c>
      <c r="F96" s="2" t="str">
        <f aca="false">VLOOKUP(fantasycypherrs[[#This Row],[Cypher Name]],Sheet1!E:O,5,FALSE())</f>
        <v>1d6 + 2</v>
      </c>
      <c r="G96" s="2" t="str">
        <f aca="false">VLOOKUP(fantasycypherrs[[#This Row],[Cypher Name]],Sheet1!E:O,2,FALSE())</f>
        <v>Ajoute 1 à  l'Avantage d'Intellect de l'utilisateur pendant une heure (ou 2 si le cypher est de niveau 5 ou plus).</v>
      </c>
    </row>
    <row r="97" customFormat="false" ht="15" hidden="false" customHeight="false" outlineLevel="0" collapsed="false">
      <c r="A97" s="2" t="s">
        <v>323</v>
      </c>
      <c r="B97" s="2"/>
      <c r="C97" s="2" t="s">
        <v>324</v>
      </c>
      <c r="D97" s="2" t="s">
        <v>316</v>
      </c>
      <c r="E97" s="2" t="str">
        <f aca="false">VLOOKUP(fantasycypherrs[[#This Row],[Cypher Name]],Sheet1!E:O,11,FALSE())</f>
        <v>Amélioration de l'Intelligence</v>
      </c>
      <c r="F97" s="2" t="str">
        <f aca="false">VLOOKUP(fantasycypherrs[[#This Row],[Cypher Name]],Sheet1!E:O,5,FALSE())</f>
        <v>1d6</v>
      </c>
      <c r="G97" s="2" t="str">
        <f aca="false">VLOOKUP(fantasycypherrs[[#This Row],[Cypher Name]],Sheet1!E:O,2,FALSE())</f>
        <v>Toutes les tâches de l'utilisateur impliquant des déductions intelligentes&amp;mdash;comme jouer aux échecs, inférer une connexion entre des indices, résoudre un problème mathématique, trouver un bogue dans le code informatique, et ainsi de suite&amp;mdash;sont facilitées de deux étapes pendant une heure. Au cours de l'heure suivante, la tension entrave les màêmes tâches de deux étapes.</v>
      </c>
    </row>
    <row r="98" customFormat="false" ht="15" hidden="false" customHeight="false" outlineLevel="0" collapsed="false">
      <c r="A98" s="2" t="s">
        <v>325</v>
      </c>
      <c r="B98" s="2"/>
      <c r="C98" s="2" t="s">
        <v>326</v>
      </c>
      <c r="D98" s="2" t="s">
        <v>316</v>
      </c>
      <c r="E98" s="2" t="str">
        <f aca="false">VLOOKUP(fantasycypherrs[[#This Row],[Cypher Name]],Sheet1!E:O,11,FALSE())</f>
        <v>Amélioration de la Connaissance</v>
      </c>
      <c r="F98" s="2" t="str">
        <f aca="false">VLOOKUP(fantasycypherrs[[#This Row],[Cypher Name]],Sheet1!E:O,5,FALSE())</f>
        <v>1d6</v>
      </c>
      <c r="G98" s="2" t="str">
        <f aca="false">VLOOKUP(fantasycypherrs[[#This Row],[Cypher Name]],Sheet1!E:O,2,FALSE())</f>
        <v>Pour la journée suivante, le personnage reà§oit un entraînement dans une compétence prédéterminée (ou deux compétences si le cypher est de niveau 5 ou plus). La compétence peut àêtre n'importe quoi (y compris quelque chose de spécifique au fonctionnement d'un appareil particulier), ou lancez un d100 pour choisir une compétence commune. (Il est facile de devenir dépendant de l'adrénaline rapide de l'entraînement qu'apportent les cyphers d'amélioration de la connaissance. Les personnages qui s'y fient trop souvent peuvent se retrouver désavantagés lorsqu'ils en manquent, offrant une grande opportunité pour une intrusion du MJ.)</v>
      </c>
    </row>
    <row r="99" customFormat="false" ht="15" hidden="false" customHeight="false" outlineLevel="0" collapsed="false">
      <c r="A99" s="2" t="s">
        <v>327</v>
      </c>
      <c r="B99" s="2"/>
      <c r="C99" s="2" t="s">
        <v>328</v>
      </c>
      <c r="D99" s="2" t="s">
        <v>316</v>
      </c>
      <c r="E99" s="2" t="str">
        <f aca="false">VLOOKUP(fantasycypherrs[[#This Row],[Cypher Name]],Sheet1!E:O,11,FALSE())</f>
        <v>Mur d'Eclairs</v>
      </c>
      <c r="F99" s="2" t="str">
        <f aca="false">VLOOKUP(fantasycypherrs[[#This Row],[Cypher Name]],Sheet1!E:O,5,FALSE())</f>
        <v>1d6 + 2</v>
      </c>
      <c r="G99" s="2" t="str">
        <f aca="false">VLOOKUP(fantasycypherrs[[#This Row],[Cypher Name]],Sheet1!E:O,2,FALSE())</f>
        <v>Crée un mur de décharges électriques mesurant jusqu'à  30 pieds par 30 pieds par 1 pied (9 m par 9 m par 30 cm) qui inflige des dégâts égaux au niveau du cypher à  tout ce qui passe à  travers. Le mur s'adapte à  l'espace disponible. Il dure dix minutes.</v>
      </c>
    </row>
    <row r="100" customFormat="false" ht="15" hidden="false" customHeight="false" outlineLevel="0" collapsed="false">
      <c r="A100" s="2" t="s">
        <v>329</v>
      </c>
      <c r="B100" s="2"/>
      <c r="C100" s="2" t="s">
        <v>330</v>
      </c>
      <c r="D100" s="2" t="s">
        <v>331</v>
      </c>
      <c r="E100" s="2" t="str">
        <f aca="false">VLOOKUP(fantasycypherrs[[#This Row],[Cypher Name]],Sheet1!E:O,11,FALSE())</f>
        <v>Contrôle de Machine</v>
      </c>
      <c r="F100" s="2" t="str">
        <f aca="false">VLOOKUP(fantasycypherrs[[#This Row],[Cypher Name]],Sheet1!E:O,5,FALSE())</f>
        <v>1d6 + 2</v>
      </c>
      <c r="G100" s="2" t="str">
        <f aca="false">VLOOKUP(fantasycypherrs[[#This Row],[Cypher Name]],Sheet1!E:O,2,FALSE())</f>
        <v>Se divise en deux morceaux ; l'un est fixé à  un appareil et l'autre à  un personnage. Le personnage peut alors utiliser son esprit pour contrôler l'appareil à  longue portée, lui ordonnant de faire tout ce qu'il pourrait faire normalement. Ainsi, un appareil pourrait àêtre activé ou désactivé, et un véhicule pourrait àêtre piloté. Le contrôle dure dix minutes par niveau de cypher, et une fois l'appareil choisi, il ne peut pas àêtre changé.</v>
      </c>
    </row>
    <row r="101" customFormat="false" ht="15" hidden="false" customHeight="false" outlineLevel="0" collapsed="false">
      <c r="A101" s="2" t="s">
        <v>332</v>
      </c>
      <c r="B101" s="2"/>
      <c r="C101" s="2" t="s">
        <v>333</v>
      </c>
      <c r="D101" s="2" t="s">
        <v>331</v>
      </c>
      <c r="E101" s="2" t="str">
        <f aca="false">VLOOKUP(fantasycypherrs[[#This Row],[Cypher Name]],Sheet1!E:O,11,FALSE())</f>
        <v>Foreuse d'Attaque Magnétique</v>
      </c>
      <c r="F101" s="2" t="str">
        <f aca="false">VLOOKUP(fantasycypherrs[[#This Row],[Cypher Name]],Sheet1!E:O,5,FALSE())</f>
        <v>1d6 + 2</v>
      </c>
      <c r="G101" s="2" t="str">
        <f aca="false">VLOOKUP(fantasycypherrs[[#This Row],[Cypher Name]],Sheet1!E:O,2,FALSE())</f>
        <v>L'utilisateur lance ce cypher sur une cible à  portée courte, et il s'enfonce dans la cible pendant un tour, infligeant des dégâts égaux au niveau du cypher. Si la cible est en métal ou porte du métal (comme une armure), l'attaque est facilitée.</v>
      </c>
    </row>
    <row r="102" customFormat="false" ht="15" hidden="false" customHeight="false" outlineLevel="0" collapsed="false">
      <c r="A102" s="2" t="s">
        <v>334</v>
      </c>
      <c r="B102" s="2"/>
      <c r="C102" s="2" t="s">
        <v>335</v>
      </c>
      <c r="D102" s="2" t="s">
        <v>331</v>
      </c>
      <c r="E102" s="2" t="str">
        <f aca="false">VLOOKUP(fantasycypherrs[[#This Row],[Cypher Name]],Sheet1!E:O,11,FALSE())</f>
        <v>Maître Magnétique</v>
      </c>
      <c r="F102" s="2" t="str">
        <f aca="false">VLOOKUP(fantasycypherrs[[#This Row],[Cypher Name]],Sheet1!E:O,5,FALSE())</f>
        <v>1d6 + 2</v>
      </c>
      <c r="G102" s="2" t="str">
        <f aca="false">VLOOKUP(fantasycypherrs[[#This Row],[Cypher Name]],Sheet1!E:O,2,FALSE())</f>
        <v>Etablit une connexion avec un objet métallique à  portée courte qu'un humain pourrait tenir d'une main. L'utilisateur peut ensuite déplacer ou manipuler l'objet n'importe oà¹ dans la portée courte (chaque mouvement ou manipulation est une action). Par exemple, il pourrait manier une arme ou tirer un casque fixé à  la tàête d'un ennemi d'avant en arrière. La connexion dure dix tours par niveau de cypher.</v>
      </c>
    </row>
    <row r="103" customFormat="false" ht="15" hidden="false" customHeight="false" outlineLevel="0" collapsed="false">
      <c r="A103" s="2" t="s">
        <v>336</v>
      </c>
      <c r="B103" s="2"/>
      <c r="C103" s="2" t="s">
        <v>337</v>
      </c>
      <c r="D103" s="2" t="s">
        <v>331</v>
      </c>
      <c r="E103" s="2" t="str">
        <f aca="false">VLOOKUP(fantasycypherrs[[#This Row],[Cypher Name]],Sheet1!E:O,11,FALSE())</f>
        <v>Bouclier Magnétique</v>
      </c>
      <c r="F103" s="2" t="str">
        <f aca="false">VLOOKUP(fantasycypherrs[[#This Row],[Cypher Name]],Sheet1!E:O,5,FALSE())</f>
        <v>1d6 + 2</v>
      </c>
      <c r="G103" s="2" t="str">
        <f aca="false">VLOOKUP(fantasycypherrs[[#This Row],[Cypher Name]],Sheet1!E:O,2,FALSE())</f>
        <v>Pendant dix minutes par niveau de cypher, les objets métalliques ne peuvent pas se trouver à  portée immédiate de l'utilisateur. Les objets métalliques déjà  dans la zone lorsque le dispositif est activé sont lentement repoussés.</v>
      </c>
    </row>
    <row r="104" customFormat="false" ht="15" hidden="false" customHeight="false" outlineLevel="0" collapsed="false">
      <c r="A104" s="2" t="s">
        <v>338</v>
      </c>
      <c r="B104" s="2"/>
      <c r="C104" s="2" t="s">
        <v>339</v>
      </c>
      <c r="D104" s="2" t="s">
        <v>331</v>
      </c>
      <c r="E104" s="2" t="str">
        <f aca="false">VLOOKUP(fantasycypherrs[[#This Row],[Cypher Name]],Sheet1!E:O,11,FALSE())</f>
        <v>Faisceau de Manipulation</v>
      </c>
      <c r="F104" s="2" t="str">
        <f aca="false">VLOOKUP(fantasycypherrs[[#This Row],[Cypher Name]],Sheet1!E:O,5,FALSE())</f>
        <v>1d6 + 2</v>
      </c>
      <c r="G104" s="2" t="str">
        <f aca="false">VLOOKUP(fantasycypherrs[[#This Row],[Cypher Name]],Sheet1!E:O,2,FALSE())</f>
        <v>Au cours d'une journée, l'utilisateur peut activer le cypher un nombre total de fois égal à  son niveau. Chaque fois, il peut affecter un objet qu'il peut voir à  longue portée qui n'est pas trop lourd pour lui à  manipuler physiquement. L'effet doit se produire au cours d'un tour et pourrait inclure la fermeture ou l'ouverture d'une porte, la saisie d'un numéro sur un clavier, le transfert d'un objet sur une courte distance, le fait de retirer un objet des mains d'une autre créature (avec un jet réussi basé sur la Puissance), ou de pousser une créature sur une distance immédiate. (Un faisceau de manipulation pourrait àêtre utilisé pour faire fonctionner un ordinateur à  distance, ce qui faciliterait certaines missions d'infiltration et de piratage.)</v>
      </c>
    </row>
    <row r="105" customFormat="false" ht="15" hidden="false" customHeight="false" outlineLevel="0" collapsed="false">
      <c r="A105" s="2" t="s">
        <v>340</v>
      </c>
      <c r="B105" s="2"/>
      <c r="C105" s="2" t="s">
        <v>341</v>
      </c>
      <c r="D105" s="2" t="s">
        <v>331</v>
      </c>
      <c r="E105" s="2" t="str">
        <f aca="false">VLOOKUP(fantasycypherrs[[#This Row],[Cypher Name]],Sheet1!E:O,11,FALSE())</f>
        <v>Rayon de Transfert de Matière</v>
      </c>
      <c r="F105" s="2" t="str">
        <f aca="false">VLOOKUP(fantasycypherrs[[#This Row],[Cypher Name]],Sheet1!E:O,5,FALSE())</f>
        <v>1d6 + 3</v>
      </c>
      <c r="G105" s="2" t="str">
        <f aca="false">VLOOKUP(fantasycypherrs[[#This Row],[Cypher Name]],Sheet1!E:O,2,FALSE())</f>
        <v>L'utilisateur peut cibler un objet non vivant à  longue portée qui est de sa taille ou plus petit, de niveau de cypher égal ou inférieur. L'objet est transféré directement à  un emplacement aléatoire situé à  au moins 100 miles (160 km) de distance. Si La Meneuse estime que cela est approprié aux circonstances, seule une partie d'un objet est transférée (une partie dont le volume n'est pas supérieur à  celui de l'utilisateur).</v>
      </c>
    </row>
    <row r="106" customFormat="false" ht="15" hidden="false" customHeight="false" outlineLevel="0" collapsed="false">
      <c r="A106" s="2" t="s">
        <v>342</v>
      </c>
      <c r="B106" s="2"/>
      <c r="C106" s="2" t="s">
        <v>343</v>
      </c>
      <c r="D106" s="2" t="s">
        <v>331</v>
      </c>
      <c r="E106" s="1" t="s">
        <v>344</v>
      </c>
      <c r="F106" s="1" t="s">
        <v>18</v>
      </c>
      <c r="G106" s="1" t="s">
        <v>345</v>
      </c>
    </row>
    <row r="107" customFormat="false" ht="15" hidden="false" customHeight="false" outlineLevel="0" collapsed="false">
      <c r="A107" s="2" t="s">
        <v>346</v>
      </c>
      <c r="B107" s="2"/>
      <c r="C107" s="2" t="s">
        <v>347</v>
      </c>
      <c r="D107" s="2" t="s">
        <v>331</v>
      </c>
      <c r="E107" s="1" t="s">
        <v>348</v>
      </c>
      <c r="F107" s="1" t="s">
        <v>18</v>
      </c>
      <c r="G107" s="1" t="s">
        <v>345</v>
      </c>
    </row>
    <row r="108" customFormat="false" ht="15" hidden="false" customHeight="false" outlineLevel="0" collapsed="false">
      <c r="A108" s="2" t="s">
        <v>349</v>
      </c>
      <c r="B108" s="2"/>
      <c r="C108" s="2" t="s">
        <v>350</v>
      </c>
      <c r="D108" s="2" t="s">
        <v>331</v>
      </c>
      <c r="E108" s="1" t="s">
        <v>351</v>
      </c>
      <c r="F108" s="1" t="s">
        <v>18</v>
      </c>
      <c r="G108" s="1" t="s">
        <v>345</v>
      </c>
    </row>
    <row r="109" customFormat="false" ht="15" hidden="false" customHeight="false" outlineLevel="0" collapsed="false">
      <c r="A109" s="2" t="s">
        <v>352</v>
      </c>
      <c r="B109" s="2"/>
      <c r="C109" s="2" t="s">
        <v>353</v>
      </c>
      <c r="D109" s="2" t="s">
        <v>331</v>
      </c>
      <c r="E109" s="2" t="str">
        <f aca="false">VLOOKUP(fantasycypherrs[[#This Row],[Cypher Name]],Sheet1!E:O,11,FALSE())</f>
        <v>Interrupteur de Mémoire</v>
      </c>
      <c r="F109" s="2" t="str">
        <f aca="false">VLOOKUP(fantasycypherrs[[#This Row],[Cypher Name]],Sheet1!E:O,5,FALSE())</f>
        <v>1d6 + 2</v>
      </c>
      <c r="G109" s="2" t="str">
        <f aca="false">VLOOKUP(fantasycypherrs[[#This Row],[Cypher Name]],Sheet1!E:O,2,FALSE())</f>
        <v>L'utilisateur sélectionne un point à  portée longue, et les esprits de toutes les créatures pensantes dans la portée immédiate de ce point sont attaqués. Les victimes sont étourdies et ne prennent aucune action pendant un tour, et elles n'ont aucun souvenir de l'heure précédente.</v>
      </c>
    </row>
    <row r="110" customFormat="false" ht="15" hidden="false" customHeight="false" outlineLevel="0" collapsed="false">
      <c r="A110" s="2" t="s">
        <v>354</v>
      </c>
      <c r="B110" s="2"/>
      <c r="C110" s="2" t="s">
        <v>355</v>
      </c>
      <c r="D110" s="2" t="s">
        <v>331</v>
      </c>
      <c r="E110" s="2" t="str">
        <f aca="false">VLOOKUP(fantasycypherrs[[#This Row],[Cypher Name]],Sheet1!E:O,11,FALSE())</f>
        <v>Brouilleur Mental</v>
      </c>
      <c r="F110" s="2" t="str">
        <f aca="false">VLOOKUP(fantasycypherrs[[#This Row],[Cypher Name]],Sheet1!E:O,5,FALSE())</f>
        <v>1d6 + 2</v>
      </c>
      <c r="G110" s="2" t="str">
        <f aca="false">VLOOKUP(fantasycypherrs[[#This Row],[Cypher Name]],Sheet1!E:O,2,FALSE())</f>
        <v>Deux rounds après son activation, le dispositif crée un champ invisible qui remplit une zone à  portée courte et dure une minute. Le champ brouille les processus mentaux de toutes les créatures pensantes. L'effet dure tant qu'elles restent dans le champ et pendant 1d6 rounds après, bien qu'un jet de défense d'Intellect soit permis chaque tour pour agir normalement (dans le champ et après l'avoir quitté). Chaque brouilleur mental est associé à  un effet spécifique. Lancez un d100 pour déterminer l'effet.</v>
      </c>
    </row>
    <row r="111" customFormat="false" ht="15" hidden="false" customHeight="false" outlineLevel="0" collapsed="false">
      <c r="A111" s="2" t="s">
        <v>356</v>
      </c>
      <c r="B111" s="2"/>
      <c r="C111" s="2" t="s">
        <v>357</v>
      </c>
      <c r="D111" s="2" t="s">
        <v>358</v>
      </c>
      <c r="E111" s="2" t="str">
        <f aca="false">VLOOKUP(fantasycypherrs[[#This Row],[Cypher Name]],Sheet1!E:O,11,FALSE())</f>
        <v>Mort Métallique</v>
      </c>
      <c r="F111" s="2" t="str">
        <f aca="false">VLOOKUP(fantasycypherrs[[#This Row],[Cypher Name]],Sheet1!E:O,5,FALSE())</f>
        <v>1d6 + 2</v>
      </c>
      <c r="G111" s="2" t="str">
        <f aca="false">VLOOKUP(fantasycypherrs[[#This Row],[Cypher Name]],Sheet1!E:O,2,FALSE())</f>
        <v>Produit un flux de mousse qui couvre une zone d'environ 3 pieds par 3 pieds (1 m par 1 m), transformant tout métal qu'elle touche en une substance aussi fragile que du verre fin. La mousse affecte le métal sur une profondeur d'environ 6 pouces (15 cm).</v>
      </c>
    </row>
    <row r="112" customFormat="false" ht="15" hidden="false" customHeight="false" outlineLevel="0" collapsed="false">
      <c r="A112" s="2" t="s">
        <v>359</v>
      </c>
      <c r="B112" s="2"/>
      <c r="C112" s="2" t="s">
        <v>360</v>
      </c>
      <c r="D112" s="2" t="s">
        <v>358</v>
      </c>
      <c r="E112" s="2" t="str">
        <f aca="false">VLOOKUP(fantasycypherrs[[#This Row],[Cypher Name]],Sheet1!E:O,11,FALSE())</f>
        <v>Fusion Mentale</v>
      </c>
      <c r="F112" s="2" t="str">
        <f aca="false">VLOOKUP(fantasycypherrs[[#This Row],[Cypher Name]],Sheet1!E:O,5,FALSE())</f>
        <v>1d6 + 1</v>
      </c>
      <c r="G112" s="2" t="str">
        <f aca="false">VLOOKUP(fantasycypherrs[[#This Row],[Cypher Name]],Sheet1!E:O,2,FALSE())</f>
        <v>Permet à  l'utilisateur de parler télépathiquement avec des créatures qu'il peut voir à  portée courte pendant jusqu'à  une heure. L'utilisateur ne peut pas lire les pensées d'une cible, sauf celles qui sont spécifiquement "transmises".</v>
      </c>
    </row>
    <row r="113" customFormat="false" ht="15" hidden="false" customHeight="false" outlineLevel="0" collapsed="false">
      <c r="A113" s="2" t="s">
        <v>361</v>
      </c>
      <c r="B113" s="2"/>
      <c r="C113" s="2" t="s">
        <v>362</v>
      </c>
      <c r="D113" s="2" t="s">
        <v>358</v>
      </c>
      <c r="E113" s="2" t="str">
        <f aca="false">VLOOKUP(fantasycypherrs[[#This Row],[Cypher Name]],Sheet1!E:O,11,FALSE())</f>
        <v>Stabilisateur Mental</v>
      </c>
      <c r="F113" s="2" t="str">
        <f aca="false">VLOOKUP(fantasycypherrs[[#This Row],[Cypher Name]],Sheet1!E:O,5,FALSE())</f>
        <v>1d6</v>
      </c>
      <c r="G113" s="2" t="str">
        <f aca="false">VLOOKUP(fantasycypherrs[[#This Row],[Cypher Name]],Sheet1!E:O,2,FALSE())</f>
        <v>L'utilisateur gagne +5 à  l'Armure contre les dégâts d'Intellect.</v>
      </c>
    </row>
    <row r="114" customFormat="false" ht="15" hidden="false" customHeight="false" outlineLevel="0" collapsed="false">
      <c r="A114" s="2" t="s">
        <v>363</v>
      </c>
      <c r="B114" s="2"/>
      <c r="C114" s="2" t="s">
        <v>364</v>
      </c>
      <c r="D114" s="2" t="s">
        <v>358</v>
      </c>
      <c r="E114" s="2" t="str">
        <f aca="false">VLOOKUP(fantasycypherrs[[#This Row],[Cypher Name]],Sheet1!E:O,11,FALSE())</f>
        <v>Mur de Restriction Mentale</v>
      </c>
      <c r="F114" s="2" t="str">
        <f aca="false">VLOOKUP(fantasycypherrs[[#This Row],[Cypher Name]],Sheet1!E:O,5,FALSE())</f>
        <v>1d6 + 2</v>
      </c>
      <c r="G114" s="2" t="str">
        <f aca="false">VLOOKUP(fantasycypherrs[[#This Row],[Cypher Name]],Sheet1!E:O,2,FALSE())</f>
        <v>Crée un plan immobile d'énergie perméable mesurant jusqu'à  20 pieds par 20 pieds (6 m par 6 m) pendant une heure. Le plan s'adapte à  l'espace disponible. Les créatures intelligentes passant à  travers le plan s'évanouissent pendant jusqu'à  une heure, ou jusqu'à  ce qu'elles soient giflées pour se réveiller ou endommagées.</v>
      </c>
    </row>
    <row r="115" customFormat="false" ht="15" hidden="false" customHeight="false" outlineLevel="0" collapsed="false">
      <c r="A115" s="2" t="s">
        <v>365</v>
      </c>
      <c r="B115" s="2"/>
      <c r="C115" s="2" t="s">
        <v>366</v>
      </c>
      <c r="D115" s="2" t="s">
        <v>358</v>
      </c>
      <c r="E115" s="2" t="str">
        <f aca="false">VLOOKUP(fantasycypherrs[[#This Row],[Cypher Name]],Sheet1!E:O,11,FALSE())</f>
        <v>Monolame</v>
      </c>
      <c r="F115" s="2" t="str">
        <f aca="false">VLOOKUP(fantasycypherrs[[#This Row],[Cypher Name]],Sheet1!E:O,5,FALSE())</f>
        <v>1d6 + 2</v>
      </c>
      <c r="G115" s="2" t="str">
        <f aca="false">VLOOKUP(fantasycypherrs[[#This Row],[Cypher Name]],Sheet1!E:O,2,FALSE())</f>
        <v>Produit une lame de 6 pouces (15 cm) qui est du màême niveau que le cypher. La lame coupe à  travers tout matériau de niveau inférieur au sien. Si utilisée comme arme, c'est une arme légère qui ignore l'Armure d'un niveau inférieur au sien. La lame dure dix minutes.</v>
      </c>
    </row>
    <row r="116" customFormat="false" ht="15" hidden="false" customHeight="false" outlineLevel="0" collapsed="false">
      <c r="A116" s="2" t="s">
        <v>367</v>
      </c>
      <c r="B116" s="2"/>
      <c r="C116" s="2" t="s">
        <v>368</v>
      </c>
      <c r="D116" s="2" t="s">
        <v>358</v>
      </c>
      <c r="E116" s="2" t="str">
        <f aca="false">VLOOKUP(fantasycypherrs[[#This Row],[Cypher Name]],Sheet1!E:O,11,FALSE())</f>
        <v>Monocorne</v>
      </c>
      <c r="F116" s="2" t="str">
        <f aca="false">VLOOKUP(fantasycypherrs[[#This Row],[Cypher Name]],Sheet1!E:O,5,FALSE())</f>
        <v>1d6 + 3</v>
      </c>
      <c r="G116" s="2" t="str">
        <f aca="false">VLOOKUP(fantasycypherrs[[#This Row],[Cypher Name]],Sheet1!E:O,2,FALSE())</f>
        <v>L'utilisateur gagne une corne au centre de son front. La corne est mortellement tranchante et robuste, et elle s'enroule jusqu'à  une base solide oà¹ elle fusionne avec sa chair et son os. L'utilisateur est spécialisé dans les attaques au corps à  corps avec la corne, qui est considérée comme une arme moyenne. La corne dure un nombre d'heures égal au niveau du cypher.</v>
      </c>
    </row>
    <row r="117" customFormat="false" ht="15" hidden="false" customHeight="false" outlineLevel="0" collapsed="false">
      <c r="A117" s="2" t="s">
        <v>369</v>
      </c>
      <c r="B117" s="2"/>
      <c r="C117" s="2" t="s">
        <v>370</v>
      </c>
      <c r="D117" s="2" t="s">
        <v>358</v>
      </c>
      <c r="E117" s="2" t="str">
        <f aca="false">VLOOKUP(fantasycypherrs[[#This Row],[Cypher Name]],Sheet1!E:O,11,FALSE())</f>
        <v>Capteur de Mouvement</v>
      </c>
      <c r="F117" s="2" t="str">
        <f aca="false">VLOOKUP(fantasycypherrs[[#This Row],[Cypher Name]],Sheet1!E:O,5,FALSE())</f>
        <v>1d6 + 2</v>
      </c>
      <c r="G117" s="2" t="str">
        <f aca="false">VLOOKUP(fantasycypherrs[[#This Row],[Cypher Name]],Sheet1!E:O,2,FALSE())</f>
        <v>Pendant une heure par niveau de cypher, l'utilisateur sait quand un mouvement se produit dans la portée courte, et lorsque de grandes créatures ou objets se déplacent dans la portée longue (le cypher distingue les deux). Il indique également le nombre et la taille des créatures ou objets en mouvement.</v>
      </c>
    </row>
    <row r="118" customFormat="false" ht="15" hidden="false" customHeight="false" outlineLevel="0" collapsed="false">
      <c r="A118" s="2" t="s">
        <v>371</v>
      </c>
      <c r="B118" s="2"/>
      <c r="C118" s="2" t="s">
        <v>372</v>
      </c>
      <c r="D118" s="2" t="s">
        <v>358</v>
      </c>
      <c r="E118" s="2" t="str">
        <f aca="false">VLOOKUP(fantasycypherrs[[#This Row],[Cypher Name]],Sheet1!E:O,11,FALSE())</f>
        <v>Champ Nul</v>
      </c>
      <c r="F118" s="2" t="str">
        <f aca="false">VLOOKUP(fantasycypherrs[[#This Row],[Cypher Name]],Sheet1!E:O,5,FALSE())</f>
        <v>1d6 + 3</v>
      </c>
      <c r="G118" s="2" t="str">
        <f aca="false">VLOOKUP(fantasycypherrs[[#This Row],[Cypher Name]],Sheet1!E:O,2,FALSE())</f>
        <v>L'utilisateur et toutes les créatures dans la portée immédiate gagnent +3 à  l'Armure (+5 si le cypher est de niveau 8 ou supérieur) contre des dégâts d'un type spécifié pendant une heure. Lancez un d100 pour déterminer l'effet.</v>
      </c>
    </row>
    <row r="119" customFormat="false" ht="15" hidden="false" customHeight="false" outlineLevel="0" collapsed="false">
      <c r="A119" s="2" t="s">
        <v>373</v>
      </c>
      <c r="B119" s="2"/>
      <c r="C119" s="2" t="s">
        <v>374</v>
      </c>
      <c r="D119" s="2" t="s">
        <v>358</v>
      </c>
      <c r="E119" s="2" t="str">
        <f aca="false">VLOOKUP(fantasycypherrs[[#This Row],[Cypher Name]],Sheet1!E:O,11,FALSE())</f>
        <v>Rayon de Nullification</v>
      </c>
      <c r="F119" s="2" t="str">
        <f aca="false">VLOOKUP(fantasycypherrs[[#This Row],[Cypher Name]],Sheet1!E:O,5,FALSE())</f>
        <v>1d6 + 3</v>
      </c>
      <c r="G119" s="2" t="str">
        <f aca="false">VLOOKUP(fantasycypherrs[[#This Row],[Cypher Name]],Sheet1!E:O,2,FALSE())</f>
        <v>L'utilisateur peut mettre immédiatement fin à  un effet en cours dans la portée longue qui est produit par un artefact, un cypher ou une capacité spéciale.</v>
      </c>
    </row>
    <row r="120" customFormat="false" ht="15" hidden="false" customHeight="false" outlineLevel="0" collapsed="false">
      <c r="A120" s="2" t="s">
        <v>375</v>
      </c>
      <c r="B120" s="2"/>
      <c r="C120" s="2" t="s">
        <v>376</v>
      </c>
      <c r="D120" s="2" t="s">
        <v>358</v>
      </c>
      <c r="E120" s="2" t="str">
        <f aca="false">VLOOKUP(fantasycypherrs[[#This Row],[Cypher Name]],Sheet1!E:O,11,FALSE())</f>
        <v>Nutrition et Hydratation</v>
      </c>
      <c r="F120" s="2" t="str">
        <f aca="false">VLOOKUP(fantasycypherrs[[#This Row],[Cypher Name]],Sheet1!E:O,5,FALSE())</f>
        <v>1d6 + 1</v>
      </c>
      <c r="G120" s="2" t="str">
        <f aca="false">VLOOKUP(fantasycypherrs[[#This Row],[Cypher Name]],Sheet1!E:O,2,FALSE())</f>
        <v>L'utilisateur peut se passer de nourriture et d'eau pendant un nombre de jours égal au niveau du cypher sans effets néfastes.</v>
      </c>
    </row>
    <row r="121" customFormat="false" ht="15" hidden="false" customHeight="false" outlineLevel="0" collapsed="false">
      <c r="A121" s="2" t="s">
        <v>377</v>
      </c>
      <c r="B121" s="2"/>
      <c r="C121" s="2" t="s">
        <v>378</v>
      </c>
      <c r="D121" s="2" t="s">
        <v>358</v>
      </c>
      <c r="E121" s="2" t="str">
        <f aca="false">VLOOKUP(fantasycypherrs[[#This Row],[Cypher Name]],Sheet1!E:O,11,FALSE())</f>
        <v>Mémoire Parfaite</v>
      </c>
      <c r="F121" s="2" t="str">
        <f aca="false">VLOOKUP(fantasycypherrs[[#This Row],[Cypher Name]],Sheet1!E:O,5,FALSE())</f>
        <v>1d6</v>
      </c>
      <c r="G121" s="2" t="str">
        <f aca="false">VLOOKUP(fantasycypherrs[[#This Row],[Cypher Name]],Sheet1!E:O,2,FALSE())</f>
        <v>Permet à  l'utilisateur d'enregistrer mentalement tout ce qu'il voit pendant trente secondes par niveau de cypher et de stocker cet enregistrement de manière permanente dans sa mémoire à  long terme. Ce cypher est utile pour observer quelqu'un ouvrir une serrure spécifique, entrer un code complexe ou faire quelque chose d'autre qui se produit rapidement.</v>
      </c>
    </row>
    <row r="122" customFormat="false" ht="15" hidden="false" customHeight="false" outlineLevel="0" collapsed="false">
      <c r="A122" s="2" t="s">
        <v>379</v>
      </c>
      <c r="B122" s="2"/>
      <c r="C122" s="2" t="s">
        <v>380</v>
      </c>
      <c r="D122" s="2" t="s">
        <v>358</v>
      </c>
      <c r="E122" s="2" t="str">
        <f aca="false">VLOOKUP(fantasycypherrs[[#This Row],[Cypher Name]],Sheet1!E:O,11,FALSE())</f>
        <v>Perfection</v>
      </c>
      <c r="F122" s="2" t="str">
        <f aca="false">VLOOKUP(fantasycypherrs[[#This Row],[Cypher Name]],Sheet1!E:O,5,FALSE())</f>
        <v>1d6 + 2</v>
      </c>
      <c r="G122" s="2" t="str">
        <f aca="false">VLOOKUP(fantasycypherrs[[#This Row],[Cypher Name]],Sheet1!E:O,2,FALSE())</f>
        <v>L'utilisateur considère sa prochaine action comme s'il avait lancé un naturel 20.</v>
      </c>
    </row>
    <row r="123" customFormat="false" ht="15" hidden="false" customHeight="false" outlineLevel="0" collapsed="false">
      <c r="A123" s="2" t="s">
        <v>381</v>
      </c>
      <c r="B123" s="2"/>
      <c r="C123" s="2" t="s">
        <v>382</v>
      </c>
      <c r="D123" s="2" t="s">
        <v>383</v>
      </c>
      <c r="E123" s="2" t="str">
        <f aca="false">VLOOKUP(fantasycypherrs[[#This Row],[Cypher Name]],Sheet1!E:O,11,FALSE())</f>
        <v>Champ d'Environnement Personnel</v>
      </c>
      <c r="F123" s="2" t="str">
        <f aca="false">VLOOKUP(fantasycypherrs[[#This Row],[Cypher Name]],Sheet1!E:O,5,FALSE())</f>
        <v>1d6 + 2</v>
      </c>
      <c r="G123" s="2" t="str">
        <f aca="false">VLOOKUP(fantasycypherrs[[#This Row],[Cypher Name]],Sheet1!E:O,2,FALSE())</f>
        <v>Crée une aura de température et d'atmosphère qui soutiendra un humain en toute sécurité pendant un jour. L'aura s'étend sur 1 pied (30 cm) autour de l'utilisateur (doublez ce rayon si le cypher est de niveau 7 ou supérieur). Il ne protège pas contre des changements de température soudains (comme ceux d'un rayon thermique). Un petit nombre de ces cyphers (1 %) s'adaptent à  l'environnement préféré d'une créature non humaine et non terrestre.</v>
      </c>
    </row>
    <row r="124" customFormat="false" ht="15" hidden="false" customHeight="false" outlineLevel="0" collapsed="false">
      <c r="A124" s="2" t="s">
        <v>384</v>
      </c>
      <c r="B124" s="2"/>
      <c r="C124" s="2" t="s">
        <v>385</v>
      </c>
      <c r="D124" s="2" t="s">
        <v>383</v>
      </c>
      <c r="E124" s="2" t="str">
        <f aca="false">VLOOKUP(fantasycypherrs[[#This Row],[Cypher Name]],Sheet1!E:O,11,FALSE())</f>
        <v>Changeur de Phase</v>
      </c>
      <c r="F124" s="2" t="n">
        <f aca="false">VLOOKUP(fantasycypherrs[[#This Row],[Cypher Name]],Sheet1!E:O,5,FALSE())</f>
        <v>0</v>
      </c>
      <c r="G124" s="2" t="str">
        <f aca="false">VLOOKUP(fantasycypherrs[[#This Row],[Cypher Name]],Sheet1!E:O,2,FALSE())</f>
        <v>Met l'utilisateur hors de phase pendant une minute (deux minutes si le cypher est de niveau 6 ou supérieur). Pendant ce temps, il peut traverser des objets solides comme s'ils étaient entièrement immatériels, comme un fantôme. Il ne peut pas effectuer d'attaques physiques ni àêtre attaqué physiquement.</v>
      </c>
    </row>
    <row r="125" customFormat="false" ht="15" hidden="false" customHeight="false" outlineLevel="0" collapsed="false">
      <c r="A125" s="2" t="s">
        <v>386</v>
      </c>
      <c r="B125" s="2"/>
      <c r="C125" s="2" t="s">
        <v>387</v>
      </c>
      <c r="D125" s="2" t="s">
        <v>383</v>
      </c>
      <c r="E125" s="2" t="str">
        <f aca="false">VLOOKUP(fantasycypherrs[[#This Row],[Cypher Name]],Sheet1!E:O,11,FALSE())</f>
        <v>Disrupteur de Phase</v>
      </c>
      <c r="F125" s="2" t="str">
        <f aca="false">VLOOKUP(fantasycypherrs[[#This Row],[Cypher Name]],Sheet1!E:O,5,FALSE())</f>
        <v>1d6 + 2</v>
      </c>
      <c r="G125" s="2" t="str">
        <f aca="false">VLOOKUP(fantasycypherrs[[#This Row],[Cypher Name]],Sheet1!E:O,2,FALSE())</f>
        <v>Met une partie d'une structure physique (comme un mur ou un sol) hors de phase pendant une heure. Cela affecte une zone égale à  un cube de 5 pieds (1,5 m) par niveau de cypher. Pendant que la zone est hors de phase, les créatures et les objets peuvent y passer comme si elle n'existait pas, bien qu'on ne puisse pas voir à  travers, et cela bloque la lumière.</v>
      </c>
    </row>
    <row r="126" customFormat="false" ht="15" hidden="false" customHeight="false" outlineLevel="0" collapsed="false">
      <c r="A126" s="2" t="s">
        <v>388</v>
      </c>
      <c r="B126" s="2"/>
      <c r="C126" s="2" t="s">
        <v>389</v>
      </c>
      <c r="D126" s="2" t="s">
        <v>383</v>
      </c>
      <c r="E126" s="2" t="str">
        <f aca="false">VLOOKUP(fantasycypherrs[[#This Row],[Cypher Name]],Sheet1!E:O,11,FALSE())</f>
        <v>Poison (Emotion)</v>
      </c>
      <c r="F126" s="2" t="str">
        <f aca="false">VLOOKUP(fantasycypherrs[[#This Row],[Cypher Name]],Sheet1!E:O,5,FALSE())</f>
        <v>1d6 + 2</v>
      </c>
      <c r="G126" s="2" t="str">
        <f aca="false">VLOOKUP(fantasycypherrs[[#This Row],[Cypher Name]],Sheet1!E:O,2,FALSE())</f>
        <v>La victime ressent une émotion spécifique pendant une heure. Lancez un d100 pour déterminer l'émotion.</v>
      </c>
    </row>
    <row r="127" customFormat="false" ht="15" hidden="false" customHeight="false" outlineLevel="0" collapsed="false">
      <c r="A127" s="2" t="s">
        <v>390</v>
      </c>
      <c r="B127" s="2"/>
      <c r="C127" s="2" t="s">
        <v>391</v>
      </c>
      <c r="D127" s="2" t="s">
        <v>383</v>
      </c>
      <c r="E127" s="2" t="str">
        <f aca="false">VLOOKUP(fantasycypherrs[[#This Row],[Cypher Name]],Sheet1!E:O,11,FALSE())</f>
        <v>Poison (Explosif)</v>
      </c>
      <c r="F127" s="2" t="str">
        <f aca="false">VLOOKUP(fantasycypherrs[[#This Row],[Cypher Name]],Sheet1!E:O,5,FALSE())</f>
        <v>1d6 + 1</v>
      </c>
      <c r="G127" s="2" t="str">
        <f aca="false">VLOOKUP(fantasycypherrs[[#This Row],[Cypher Name]],Sheet1!E:O,2,FALSE())</f>
        <v>Une fois que cette substance pénètre dans la circulation sanguine, elle se dirige vers le cerveau et se réorganise en un explosif qui explose lorsqu'il est activé, infligeant 10 points de dégâts (ignore l'Armure). Lancez un d100 pour déterminer ce qui active le poison.</v>
      </c>
    </row>
    <row r="128" customFormat="false" ht="15" hidden="false" customHeight="false" outlineLevel="0" collapsed="false">
      <c r="A128" s="2" t="s">
        <v>392</v>
      </c>
      <c r="B128" s="2"/>
      <c r="C128" s="2" t="s">
        <v>393</v>
      </c>
      <c r="D128" s="2" t="s">
        <v>383</v>
      </c>
      <c r="E128" s="2" t="str">
        <f aca="false">VLOOKUP(fantasycypherrs[[#This Row],[Cypher Name]],Sheet1!E:O,11,FALSE())</f>
        <v>Poison (Contrôle Mental)</v>
      </c>
      <c r="F128" s="2" t="str">
        <f aca="false">VLOOKUP(fantasycypherrs[[#This Row],[Cypher Name]],Sheet1!E:O,5,FALSE())</f>
        <v>1d6 + 2</v>
      </c>
      <c r="G128" s="2" t="str">
        <f aca="false">VLOOKUP(fantasycypherrs[[#This Row],[Cypher Name]],Sheet1!E:O,2,FALSE())</f>
        <v>La victime doit accomplir une action spécifique en réponse à  un déclencheur spécifique. Lancez un d100 pour déterminer l'action.</v>
      </c>
    </row>
    <row r="129" customFormat="false" ht="15" hidden="false" customHeight="false" outlineLevel="0" collapsed="false">
      <c r="A129" s="2" t="s">
        <v>394</v>
      </c>
      <c r="B129" s="2"/>
      <c r="C129" s="2" t="s">
        <v>395</v>
      </c>
      <c r="D129" s="2" t="s">
        <v>383</v>
      </c>
      <c r="E129" s="2" t="str">
        <f aca="false">VLOOKUP(fantasycypherrs[[#This Row],[Cypher Name]],Sheet1!E:O,11,FALSE())</f>
        <v>Poison (Perturbation Mentale)</v>
      </c>
      <c r="F129" s="2" t="str">
        <f aca="false">VLOOKUP(fantasycypherrs[[#This Row],[Cypher Name]],Sheet1!E:O,5,FALSE())</f>
        <v>1d6 + 2</v>
      </c>
      <c r="G129" s="2" t="str">
        <f aca="false">VLOOKUP(fantasycypherrs[[#This Row],[Cypher Name]],Sheet1!E:O,2,FALSE())</f>
        <v>La victime subit des dégâts d'Intellect égaux au niveau du cypher et ne peut pas agir pendant un nombre de rounds égal au niveau du cypher.</v>
      </c>
    </row>
    <row r="130" customFormat="false" ht="15" hidden="false" customHeight="false" outlineLevel="0" collapsed="false">
      <c r="A130" s="2" t="s">
        <v>396</v>
      </c>
      <c r="B130" s="2"/>
      <c r="C130" s="2" t="s">
        <v>397</v>
      </c>
      <c r="D130" s="2" t="s">
        <v>62</v>
      </c>
      <c r="E130" s="2" t="str">
        <f aca="false">VLOOKUP(fantasycypherrs[[#This Row],[Cypher Name]],Sheet1!E:O,11,FALSE())</f>
        <v>Pic de Radiation</v>
      </c>
      <c r="F130" s="2" t="str">
        <f aca="false">VLOOKUP(fantasycypherrs[[#This Row],[Cypher Name]],Sheet1!E:O,5,FALSE())</f>
        <v>1d6 + 4</v>
      </c>
      <c r="G130" s="2" t="str">
        <f aca="false">VLOOKUP(fantasycypherrs[[#This Row],[Cypher Name]],Sheet1!E:O,2,FALSE())</f>
        <v>Inflige une forte impulsion de radiation qui perturbe les tissus de toute créature touchée, infligeant des dégâts égaux au niveau du cypher.</v>
      </c>
    </row>
    <row r="131" customFormat="false" ht="15" hidden="false" customHeight="false" outlineLevel="0" collapsed="false">
      <c r="A131" s="2" t="s">
        <v>398</v>
      </c>
      <c r="B131" s="2"/>
      <c r="C131" s="2" t="s">
        <v>399</v>
      </c>
      <c r="D131" s="2" t="s">
        <v>62</v>
      </c>
      <c r="E131" s="1" t="s">
        <v>400</v>
      </c>
      <c r="F131" s="2" t="s">
        <v>18</v>
      </c>
      <c r="G131" s="2" t="s">
        <v>401</v>
      </c>
    </row>
    <row r="132" customFormat="false" ht="15" hidden="false" customHeight="false" outlineLevel="0" collapsed="false">
      <c r="A132" s="2" t="s">
        <v>402</v>
      </c>
      <c r="B132" s="2"/>
      <c r="C132" s="2" t="s">
        <v>403</v>
      </c>
      <c r="D132" s="2" t="s">
        <v>62</v>
      </c>
      <c r="E132" s="2" t="str">
        <f aca="false">VLOOKUP(fantasycypherrs[[#This Row],[Cypher Name]],Sheet1!E:O,11,FALSE())</f>
        <v>Emetteur de Rayon (Commande)</v>
      </c>
      <c r="F132" s="2" t="str">
        <f aca="false">VLOOKUP(fantasycypherrs[[#This Row],[Cypher Name]],Sheet1!E:O,5,FALSE())</f>
        <v>1d6 + 2</v>
      </c>
      <c r="G132" s="2" t="str">
        <f aca="false">VLOOKUP(fantasycypherrs[[#This Row],[Cypher Name]],Sheet1!E:O,2,FALSE())</f>
        <v>Permet à  l'utilisateur de projeter un rayon jusqu'à  portée longue (très longue portée si le cypher est de niveau 6 ou supérieur) qui force une cible à  obéir à  la prochaine commande verbale donnée (si elle est comprise) pendant un round par niveau de cypher.</v>
      </c>
    </row>
    <row r="133" customFormat="false" ht="15" hidden="false" customHeight="false" outlineLevel="0" collapsed="false">
      <c r="A133" s="2" t="s">
        <v>404</v>
      </c>
      <c r="B133" s="2"/>
      <c r="C133" s="2" t="s">
        <v>405</v>
      </c>
      <c r="D133" s="2" t="s">
        <v>62</v>
      </c>
      <c r="E133" s="1" t="s">
        <v>406</v>
      </c>
      <c r="F133" s="2" t="s">
        <v>18</v>
      </c>
      <c r="G133" s="2" t="s">
        <v>407</v>
      </c>
    </row>
    <row r="134" customFormat="false" ht="15" hidden="false" customHeight="false" outlineLevel="0" collapsed="false">
      <c r="A134" s="2" t="s">
        <v>408</v>
      </c>
      <c r="B134" s="2"/>
      <c r="C134" s="2" t="s">
        <v>409</v>
      </c>
      <c r="D134" s="2" t="s">
        <v>62</v>
      </c>
      <c r="E134" s="2" t="str">
        <f aca="false">VLOOKUP(fantasycypherrs[[#This Row],[Cypher Name]],Sheet1!E:O,11,FALSE())</f>
        <v>EmetteurEmetteur de Rayon (Peur) de Rayon (Peur)</v>
      </c>
      <c r="F134" s="2" t="str">
        <f aca="false">VLOOKUP(fantasycypherrs[[#This Row],[Cypher Name]],Sheet1!E:O,5,FALSE())</f>
        <v>1d6 + 2</v>
      </c>
      <c r="G134" s="2" t="str">
        <f aca="false">VLOOKUP(fantasycypherrs[[#This Row],[Cypher Name]],Sheet1!E:O,2,FALSE())</f>
        <v>Permet à  l'utilisateur de projeter un rayon jusqu'à  portée longue (très longue portée si le cypher est de niveau 6 ou supérieur) qui provoque la fuite de la cible dans la terreur pendant une minute.</v>
      </c>
    </row>
    <row r="135" customFormat="false" ht="15" hidden="false" customHeight="false" outlineLevel="0" collapsed="false">
      <c r="A135" s="2" t="s">
        <v>410</v>
      </c>
      <c r="B135" s="2"/>
      <c r="C135" s="2" t="s">
        <v>411</v>
      </c>
      <c r="D135" s="2" t="s">
        <v>62</v>
      </c>
      <c r="E135" s="1" t="s">
        <v>412</v>
      </c>
      <c r="F135" s="2" t="s">
        <v>18</v>
      </c>
      <c r="G135" s="2" t="s">
        <v>413</v>
      </c>
    </row>
    <row r="136" customFormat="false" ht="15" hidden="false" customHeight="false" outlineLevel="0" collapsed="false">
      <c r="A136" s="2" t="s">
        <v>414</v>
      </c>
      <c r="B136" s="2"/>
      <c r="C136" s="2" t="s">
        <v>415</v>
      </c>
      <c r="D136" s="2" t="s">
        <v>62</v>
      </c>
      <c r="E136" s="2" t="str">
        <f aca="false">VLOOKUP(fantasycypherrs[[#This Row],[Cypher Name]],Sheet1!E:O,11,FALSE())</f>
        <v>Emetteur de Rayon (Tuer un Ami)</v>
      </c>
      <c r="F136" s="2" t="str">
        <f aca="false">VLOOKUP(fantasycypherrs[[#This Row],[Cypher Name]],Sheet1!E:O,5,FALSE())</f>
        <v>1d6 + 2</v>
      </c>
      <c r="G136" s="2" t="str">
        <f aca="false">VLOOKUP(fantasycypherrs[[#This Row],[Cypher Name]],Sheet1!E:O,2,FALSE())</f>
        <v>Permet à  l'utilisateur de projeter un rayon jusqu'à  portée longue (très longue portée si le cypher est de niveau 6 ou supérieur) qui pousse la cible à  attaquer son allié le plus proche pendant un round.</v>
      </c>
    </row>
    <row r="137" customFormat="false" ht="15" hidden="false" customHeight="false" outlineLevel="0" collapsed="false">
      <c r="A137" s="2" t="s">
        <v>416</v>
      </c>
      <c r="B137" s="2"/>
      <c r="C137" s="2" t="s">
        <v>417</v>
      </c>
      <c r="D137" s="2" t="s">
        <v>62</v>
      </c>
      <c r="E137" s="1" t="s">
        <v>418</v>
      </c>
      <c r="F137" s="2" t="s">
        <v>18</v>
      </c>
      <c r="G137" s="2" t="s">
        <v>419</v>
      </c>
    </row>
    <row r="138" customFormat="false" ht="15" hidden="false" customHeight="false" outlineLevel="0" collapsed="false">
      <c r="A138" s="2" t="s">
        <v>420</v>
      </c>
      <c r="B138" s="2"/>
      <c r="C138" s="2" t="s">
        <v>421</v>
      </c>
      <c r="D138" s="2" t="s">
        <v>62</v>
      </c>
      <c r="E138" s="1" t="s">
        <v>422</v>
      </c>
      <c r="F138" s="2" t="s">
        <v>18</v>
      </c>
      <c r="G138" s="2" t="s">
        <v>423</v>
      </c>
    </row>
    <row r="139" customFormat="false" ht="15" hidden="false" customHeight="false" outlineLevel="0" collapsed="false">
      <c r="A139" s="2" t="s">
        <v>424</v>
      </c>
      <c r="B139" s="2"/>
      <c r="C139" s="2" t="s">
        <v>425</v>
      </c>
      <c r="D139" s="2" t="s">
        <v>62</v>
      </c>
      <c r="E139" s="1" t="s">
        <v>426</v>
      </c>
      <c r="F139" s="2" t="s">
        <v>18</v>
      </c>
      <c r="G139" s="2" t="s">
        <v>427</v>
      </c>
    </row>
    <row r="140" customFormat="false" ht="15" hidden="false" customHeight="false" outlineLevel="0" collapsed="false">
      <c r="A140" s="2" t="s">
        <v>428</v>
      </c>
      <c r="B140" s="2"/>
      <c r="C140" s="2" t="s">
        <v>429</v>
      </c>
      <c r="D140" s="2" t="s">
        <v>62</v>
      </c>
      <c r="E140" s="1" t="s">
        <v>430</v>
      </c>
      <c r="F140" s="2" t="s">
        <v>18</v>
      </c>
      <c r="G140" s="2" t="s">
        <v>431</v>
      </c>
    </row>
    <row r="141" customFormat="false" ht="15" hidden="false" customHeight="false" outlineLevel="0" collapsed="false">
      <c r="A141" s="2" t="s">
        <v>432</v>
      </c>
      <c r="B141" s="2"/>
      <c r="C141" s="2" t="s">
        <v>433</v>
      </c>
      <c r="D141" s="2" t="s">
        <v>62</v>
      </c>
      <c r="E141" s="2" t="str">
        <f aca="false">VLOOKUP(fantasycypherrs[[#This Row],[Cypher Name]],Sheet1!E:O,11,FALSE())</f>
        <v>Emetteur de Rayon (Engourdissement)</v>
      </c>
      <c r="F141" s="2" t="str">
        <f aca="false">VLOOKUP(fantasycypherrs[[#This Row],[Cypher Name]],Sheet1!E:O,5,FALSE())</f>
        <v>1d6 + 2</v>
      </c>
      <c r="G141" s="2" t="str">
        <f aca="false">VLOOKUP(fantasycypherrs[[#This Row],[Cypher Name]],Sheet1!E:O,2,FALSE())</f>
        <v>Permet à  l'utilisateur de projeter un rayon d'énergie jusqu'à  portée longue (très longue portée si le cypher est de niveau 6 ou supérieur) qui engourdit un membre de la cible, le rendant inutile pendant une minute. Un petit nombre de ces dispositifs (5 %) induisent un engourdissement qui dure une heure.</v>
      </c>
    </row>
    <row r="142" customFormat="false" ht="15" hidden="false" customHeight="false" outlineLevel="0" collapsed="false">
      <c r="A142" s="2" t="s">
        <v>434</v>
      </c>
      <c r="B142" s="2"/>
      <c r="C142" s="2" t="s">
        <v>435</v>
      </c>
      <c r="D142" s="2" t="s">
        <v>62</v>
      </c>
      <c r="E142" s="2" t="str">
        <f aca="false">VLOOKUP(fantasycypherrs[[#This Row],[Cypher Name]],Sheet1!E:O,11,FALSE())</f>
        <v>Emetteur de Rayon (Paralysie)</v>
      </c>
      <c r="F142" s="2" t="str">
        <f aca="false">VLOOKUP(fantasycypherrs[[#This Row],[Cypher Name]],Sheet1!E:O,5,FALSE())</f>
        <v>1d6 + 2</v>
      </c>
      <c r="G142" s="2" t="str">
        <f aca="false">VLOOKUP(fantasycypherrs[[#This Row],[Cypher Name]],Sheet1!E:O,2,FALSE())</f>
        <v>Permet à  l'utilisateur de projeter un rayon d'énergie jusqu'à  très longue portée qui paralyse la cible pendant une minute. Un petit nombre de ces dispositifs (5 %) induisent une paralysie qui dure une heure.</v>
      </c>
    </row>
    <row r="143" customFormat="false" ht="15" hidden="false" customHeight="false" outlineLevel="0" collapsed="false">
      <c r="A143" s="2" t="s">
        <v>436</v>
      </c>
      <c r="B143" s="2"/>
      <c r="C143" s="2" t="s">
        <v>437</v>
      </c>
      <c r="D143" s="2" t="s">
        <v>62</v>
      </c>
      <c r="E143" s="2" t="str">
        <f aca="false">VLOOKUP(fantasycypherrs[[#This Row],[Cypher Name]],Sheet1!E:O,11,FALSE())</f>
        <v>Pic de Réalité</v>
      </c>
      <c r="F143" s="2" t="str">
        <f aca="false">VLOOKUP(fantasycypherrs[[#This Row],[Cypher Name]],Sheet1!E:O,5,FALSE())</f>
        <v>1d6 + 4</v>
      </c>
      <c r="G143" s="2" t="str">
        <f aca="false">VLOOKUP(fantasycypherrs[[#This Row],[Cypher Name]],Sheet1!E:O,2,FALSE())</f>
        <v>Une fois activé, le cypher ne bouge jamais, màême s'il est activé en l'air. Une action de Puissance le délogera, mais il sera alors ruiné.</v>
      </c>
    </row>
    <row r="144" customFormat="false" ht="15" hidden="false" customHeight="false" outlineLevel="0" collapsed="false">
      <c r="A144" s="2" t="s">
        <v>438</v>
      </c>
      <c r="B144" s="2"/>
      <c r="C144" s="2" t="s">
        <v>439</v>
      </c>
      <c r="D144" s="2" t="s">
        <v>62</v>
      </c>
      <c r="E144" s="2" t="str">
        <f aca="false">VLOOKUP(fantasycypherrs[[#This Row],[Cypher Name]],Sheet1!E:O,11,FALSE())</f>
        <v>Amplificateur de Réflexes</v>
      </c>
      <c r="F144" s="2" t="str">
        <f aca="false">VLOOKUP(fantasycypherrs[[#This Row],[Cypher Name]],Sheet1!E:O,5,FALSE())</f>
        <v>1d6</v>
      </c>
      <c r="G144" s="2" t="str">
        <f aca="false">VLOOKUP(fantasycypherrs[[#This Row],[Cypher Name]],Sheet1!E:O,2,FALSE())</f>
        <v>Toutes les tâches impliquant de la dextérité manuelle - telles que le vol à  la tire, le crochetage, le jonglage, les opérations chirurgicales sur un patient, le désamorà§age d'une bombe, etc. - sont facilitées de deux niveaux pendant une heure.</v>
      </c>
    </row>
    <row r="145" customFormat="false" ht="15" hidden="false" customHeight="false" outlineLevel="0" collapsed="false">
      <c r="A145" s="2" t="s">
        <v>440</v>
      </c>
      <c r="B145" s="2"/>
      <c r="C145" s="2" t="s">
        <v>441</v>
      </c>
      <c r="D145" s="2" t="s">
        <v>62</v>
      </c>
      <c r="E145" s="1" t="s">
        <v>442</v>
      </c>
      <c r="F145" s="1" t="s">
        <v>18</v>
      </c>
      <c r="G145" s="1" t="s">
        <v>443</v>
      </c>
    </row>
    <row r="146" customFormat="false" ht="15" hidden="false" customHeight="false" outlineLevel="0" collapsed="false">
      <c r="A146" s="2" t="s">
        <v>444</v>
      </c>
      <c r="B146" s="2"/>
      <c r="C146" s="2" t="s">
        <v>445</v>
      </c>
      <c r="D146" s="2" t="s">
        <v>62</v>
      </c>
      <c r="E146" s="1" t="s">
        <v>446</v>
      </c>
      <c r="F146" s="1" t="s">
        <v>18</v>
      </c>
      <c r="G146" s="1" t="s">
        <v>443</v>
      </c>
    </row>
    <row r="147" customFormat="false" ht="15" hidden="false" customHeight="false" outlineLevel="0" collapsed="false">
      <c r="A147" s="2" t="s">
        <v>447</v>
      </c>
      <c r="B147" s="2"/>
      <c r="C147" s="2" t="s">
        <v>448</v>
      </c>
      <c r="D147" s="2" t="s">
        <v>62</v>
      </c>
      <c r="E147" s="1" t="s">
        <v>449</v>
      </c>
      <c r="F147" s="1" t="s">
        <v>18</v>
      </c>
      <c r="G147" s="1" t="s">
        <v>443</v>
      </c>
    </row>
    <row r="148" customFormat="false" ht="15" hidden="false" customHeight="false" outlineLevel="0" collapsed="false">
      <c r="A148" s="2" t="s">
        <v>450</v>
      </c>
      <c r="B148" s="2"/>
      <c r="C148" s="2" t="s">
        <v>451</v>
      </c>
      <c r="D148" s="2" t="s">
        <v>452</v>
      </c>
      <c r="E148" s="2" t="str">
        <f aca="false">VLOOKUP(fantasycypherrs[[#This Row],[Cypher Name]],Sheet1!E:O,11,FALSE())</f>
        <v>Souvenir</v>
      </c>
      <c r="F148" s="2" t="str">
        <f aca="false">VLOOKUP(fantasycypherrs[[#This Row],[Cypher Name]],Sheet1!E:O,5,FALSE())</f>
        <v>1d6</v>
      </c>
      <c r="G148" s="2" t="str">
        <f aca="false">VLOOKUP(fantasycypherrs[[#This Row],[Cypher Name]],Sheet1!E:O,2,FALSE())</f>
        <v>Permet à  l'utilisateur de se souvenir de n'importe quelle expérience qu'il a déjà  vécue. L'expérience ne peut pas durer plus d'une minute par niveau de cypher, mais le rappel est parfait, donc (par exemple) s'il a vu quelqu'un composer un numéro de téléphone, il se souviendra du numéro.</v>
      </c>
    </row>
    <row r="149" customFormat="false" ht="15" hidden="false" customHeight="false" outlineLevel="0" collapsed="false">
      <c r="A149" s="2" t="s">
        <v>453</v>
      </c>
      <c r="B149" s="2"/>
      <c r="C149" s="2" t="s">
        <v>454</v>
      </c>
      <c r="D149" s="2" t="s">
        <v>452</v>
      </c>
      <c r="E149" s="2" t="str">
        <f aca="false">VLOOKUP(fantasycypherrs[[#This Row],[Cypher Name]],Sheet1!E:O,11,FALSE())</f>
        <v>Vision à  Distance</v>
      </c>
      <c r="F149" s="2" t="str">
        <f aca="false">VLOOKUP(fantasycypherrs[[#This Row],[Cypher Name]],Sheet1!E:O,5,FALSE())</f>
        <v>1d6</v>
      </c>
      <c r="G149" s="2" t="str">
        <f aca="false">VLOOKUP(fantasycypherrs[[#This Row],[Cypher Name]],Sheet1!E:O,2,FALSE())</f>
        <v>Pendant une heure par niveau de cypher, l'utilisateur peut voir tout ce qui se passe dans les environs du cypher, quelle que soit la distance entre eux.</v>
      </c>
    </row>
    <row r="150" customFormat="false" ht="15" hidden="false" customHeight="false" outlineLevel="0" collapsed="false">
      <c r="A150" s="2" t="s">
        <v>455</v>
      </c>
      <c r="B150" s="2"/>
      <c r="C150" s="2" t="s">
        <v>456</v>
      </c>
      <c r="D150" s="2" t="s">
        <v>452</v>
      </c>
      <c r="E150" s="2" t="str">
        <f aca="false">VLOOKUP(fantasycypherrs[[#This Row],[Cypher Name]],Sheet1!E:O,11,FALSE())</f>
        <v>Unité de Réparation</v>
      </c>
      <c r="F150" s="2" t="str">
        <f aca="false">VLOOKUP(fantasycypherrs[[#This Row],[Cypher Name]],Sheet1!E:O,5,FALSE())</f>
        <v>1d10</v>
      </c>
      <c r="G150" s="2" t="str">
        <f aca="false">VLOOKUP(fantasycypherrs[[#This Row],[Cypher Name]],Sheet1!E:O,2,FALSE())</f>
        <v>Le cypher devient une sphère multi-bras qui flotte. Il répare un objet désigné (de son propre niveau ou inférieur) qui a été endommagé mais pas détruit. L'unité de réparation peut également créer des pièces de rechange, sauf si La Meneuse décide que les pièces sont trop spécialisées ou rares (dans ce cas, l'unité répare le dispositif, sauf pour la pièce spécialisée). Le temps de réparation est de 1d100 + 20 minutes.</v>
      </c>
    </row>
    <row r="151" customFormat="false" ht="15" hidden="false" customHeight="false" outlineLevel="0" collapsed="false">
      <c r="A151" s="2" t="s">
        <v>457</v>
      </c>
      <c r="B151" s="2"/>
      <c r="C151" s="2" t="s">
        <v>458</v>
      </c>
      <c r="D151" s="2" t="s">
        <v>452</v>
      </c>
      <c r="E151" s="2" t="str">
        <f aca="false">VLOOKUP(fantasycypherrs[[#This Row],[Cypher Name]],Sheet1!E:O,11,FALSE())</f>
        <v>Répéteur</v>
      </c>
      <c r="F151" s="2" t="str">
        <f aca="false">VLOOKUP(fantasycypherrs[[#This Row],[Cypher Name]],Sheet1!E:O,5,FALSE())</f>
        <v>1d6 + 1</v>
      </c>
      <c r="G151" s="2" t="str">
        <f aca="false">VLOOKUP(fantasycypherrs[[#This Row],[Cypher Name]],Sheet1!E:O,2,FALSE())</f>
        <v>Pendant la minute suivante, l'arme à  distance de l'utilisateur tire une fois de plus avec des munitions fabriquées par le cypher. Le porteur de l'arme peut viser le tir supplémentaire sur la màême cible ou sur une cible différente à  proximité de la première.</v>
      </c>
    </row>
    <row r="152" customFormat="false" ht="15" hidden="false" customHeight="false" outlineLevel="0" collapsed="false">
      <c r="A152" s="2" t="s">
        <v>459</v>
      </c>
      <c r="B152" s="2"/>
      <c r="C152" s="2" t="s">
        <v>460</v>
      </c>
      <c r="D152" s="2" t="s">
        <v>452</v>
      </c>
      <c r="E152" s="2" t="str">
        <f aca="false">VLOOKUP(fantasycypherrs[[#This Row],[Cypher Name]],Sheet1!E:O,11,FALSE())</f>
        <v>Repousser</v>
      </c>
      <c r="F152" s="2" t="str">
        <f aca="false">VLOOKUP(fantasycypherrs[[#This Row],[Cypher Name]],Sheet1!E:O,5,FALSE())</f>
        <v>1d6 + 1</v>
      </c>
      <c r="G152" s="2" t="str">
        <f aca="false">VLOOKUP(fantasycypherrs[[#This Row],[Cypher Name]],Sheet1!E:O,2,FALSE())</f>
        <v>Un PNJ à  portée immédiate qui est d'un niveau inférieur au cypher décide de partir, utilisant ses cinq prochains rounds pour s'éloigner rapidement.</v>
      </c>
    </row>
    <row r="153" customFormat="false" ht="15" hidden="false" customHeight="false" outlineLevel="0" collapsed="false">
      <c r="A153" s="2" t="s">
        <v>461</v>
      </c>
      <c r="B153" s="2"/>
      <c r="C153" s="2" t="s">
        <v>462</v>
      </c>
      <c r="D153" s="2" t="s">
        <v>452</v>
      </c>
      <c r="E153" s="2" t="str">
        <f aca="false">VLOOKUP(fantasycypherrs[[#This Row],[Cypher Name]],Sheet1!E:O,11,FALSE())</f>
        <v>Rétaliation</v>
      </c>
      <c r="F153" s="2" t="str">
        <f aca="false">VLOOKUP(fantasycypherrs[[#This Row],[Cypher Name]],Sheet1!E:O,5,FALSE())</f>
        <v>1d6</v>
      </c>
      <c r="G153" s="2" t="str">
        <f aca="false">VLOOKUP(fantasycypherrs[[#This Row],[Cypher Name]],Sheet1!E:O,2,FALSE())</f>
        <v>Pendant le jour suivant, quiconque frappant l'utilisateur reà§oit une petite décharge d'électricité infligeant 1 point de dégâts (2 points si le cypher est de niveau 4 ou supérieur, 3 points si le cypher est de niveau 6 ou supérieur). Aucune action ou lancer n'est requis de la part de l'utilisateur.</v>
      </c>
    </row>
    <row r="154" customFormat="false" ht="15" hidden="false" customHeight="false" outlineLevel="0" collapsed="false">
      <c r="A154" s="2" t="s">
        <v>463</v>
      </c>
      <c r="B154" s="2"/>
      <c r="C154" s="2" t="s">
        <v>464</v>
      </c>
      <c r="D154" s="2" t="s">
        <v>452</v>
      </c>
      <c r="E154" s="2" t="str">
        <f aca="false">VLOOKUP(fantasycypherrs[[#This Row],[Cypher Name]],Sheet1!E:O,11,FALSE())</f>
        <v>Secret</v>
      </c>
      <c r="F154" s="2" t="str">
        <f aca="false">VLOOKUP(fantasycypherrs[[#This Row],[Cypher Name]],Sheet1!E:O,5,FALSE())</f>
        <v>1d6 + 2</v>
      </c>
      <c r="G154" s="2" t="str">
        <f aca="false">VLOOKUP(fantasycypherrs[[#This Row],[Cypher Name]],Sheet1!E:O,2,FALSE())</f>
        <v>L'utilisateur peut poser une question au MJ et obtenir une réponse générale. Le MJ attribue un niveau à  la question, donc plus la réponse est obscure, plus la tâche est difficile. En général, les connaissances qu'un PJ pourrait trouver en cherchant ailleurs que dans son emplacement actuel sont de niveau 1, et les connaissances obscures du passé sont de niveau 7. Acquérir des connaissances sur l'avenir est de niveau 10, et ces connaissances sont toujours sujettes à  interprétation. Le cypher ne peut pas fournir de réponse à  une question supérieure à  son niveau.</v>
      </c>
    </row>
    <row r="155" customFormat="false" ht="15" hidden="false" customHeight="false" outlineLevel="0" collapsed="false">
      <c r="A155" s="2" t="s">
        <v>465</v>
      </c>
      <c r="B155" s="2"/>
      <c r="C155" s="2" t="s">
        <v>466</v>
      </c>
      <c r="D155" s="2" t="s">
        <v>452</v>
      </c>
      <c r="E155" s="2" t="str">
        <f aca="false">VLOOKUP(fantasycypherrs[[#This Row],[Cypher Name]],Sheet1!E:O,11,FALSE())</f>
        <v>Brillance</v>
      </c>
      <c r="F155" s="2" t="str">
        <f aca="false">VLOOKUP(fantasycypherrs[[#This Row],[Cypher Name]],Sheet1!E:O,5,FALSE())</f>
        <v>1d6</v>
      </c>
      <c r="G155" s="2" t="str">
        <f aca="false">VLOOKUP(fantasycypherrs[[#This Row],[Cypher Name]],Sheet1!E:O,2,FALSE())</f>
        <v>For one week, the user's cells are coated with a protective veneer that resists damage (+1 à  l'Armure, or +2 à  l'Armure if the cypher is level 5 or higher) and eases Défense de Puissance rolls by two steps. However, healing is more difficult during this time; all recovery rolls suffer a &amp;mdash;1 penalty.</v>
      </c>
    </row>
    <row r="156" customFormat="false" ht="15" hidden="false" customHeight="false" outlineLevel="0" collapsed="false">
      <c r="A156" s="2" t="s">
        <v>467</v>
      </c>
      <c r="B156" s="2"/>
      <c r="C156" s="2" t="s">
        <v>468</v>
      </c>
      <c r="D156" s="2" t="s">
        <v>452</v>
      </c>
      <c r="E156" s="2" t="str">
        <f aca="false">VLOOKUP(fantasycypherrs[[#This Row],[Cypher Name]],Sheet1!E:O,11,FALSE())</f>
        <v>Attaque Electrique</v>
      </c>
      <c r="F156" s="2" t="str">
        <f aca="false">VLOOKUP(fantasycypherrs[[#This Row],[Cypher Name]],Sheet1!E:O,5,FALSE())</f>
        <v>1d6</v>
      </c>
      <c r="G156" s="2" t="str">
        <f aca="false">VLOOKUP(fantasycypherrs[[#This Row],[Cypher Name]],Sheet1!E:O,2,FALSE())</f>
        <v>Pendant une semaine, les cellules de l'utilisateur sont recouvertes d'un vernis protecteur qui résiste aux dégâts (+1 à  l'Armure, ou +2 à  l'Armure si le cypher est de niveau 5 ou supérieur) et facilite les lancers de défense de Puissance de deux niveaux. Cependant, la guérison est plus difficile pendant cette période ; tous les lancers de récupération subissent un malus de -1.</v>
      </c>
    </row>
    <row r="157" customFormat="false" ht="15" hidden="false" customHeight="false" outlineLevel="0" collapsed="false">
      <c r="A157" s="2" t="s">
        <v>469</v>
      </c>
      <c r="B157" s="2"/>
      <c r="C157" s="2" t="s">
        <v>470</v>
      </c>
      <c r="D157" s="2" t="s">
        <v>452</v>
      </c>
      <c r="E157" s="2" t="str">
        <f aca="false">VLOOKUP(fantasycypherrs[[#This Row],[Cypher Name]],Sheet1!E:O,11,FALSE())</f>
        <v>Electrisant</v>
      </c>
      <c r="F157" s="2" t="str">
        <f aca="false">VLOOKUP(fantasycypherrs[[#This Row],[Cypher Name]],Sheet1!E:O,5,FALSE())</f>
        <v>1d6 + 4</v>
      </c>
      <c r="G157" s="2" t="str">
        <f aca="false">VLOOKUP(fantasycypherrs[[#This Row],[Cypher Name]],Sheet1!E:O,2,FALSE())</f>
        <v>Inflige une puissante décharge d'électricité qui choque toute créature touchée, infligeant des dégâts égaux au niveau du cyphe</v>
      </c>
    </row>
    <row r="158" customFormat="false" ht="15" hidden="false" customHeight="false" outlineLevel="0" collapsed="false">
      <c r="A158" s="2" t="s">
        <v>471</v>
      </c>
      <c r="B158" s="2"/>
      <c r="C158" s="2" t="s">
        <v>472</v>
      </c>
      <c r="D158" s="2" t="s">
        <v>473</v>
      </c>
      <c r="E158" s="2" t="str">
        <f aca="false">VLOOKUP(fantasycypherrs[[#This Row],[Cypher Name]],Sheet1!E:O,11,FALSE())</f>
        <v>Amélioration de Compétence</v>
      </c>
      <c r="F158" s="2" t="str">
        <f aca="false">VLOOKUP(fantasycypherrs[[#This Row],[Cypher Name]],Sheet1!E:O,5,FALSE())</f>
        <v>1d6</v>
      </c>
      <c r="G158" s="2" t="str">
        <f aca="false">VLOOKUP(fantasycypherrs[[#This Row],[Cypher Name]],Sheet1!E:O,2,FALSE())</f>
        <v>Modifie de manière spectaculaire mais temporaire l'esprit et le corps de l'utilisateur afin qu'il puisse faciliter un type spécifique d'action physique de trois niveaux. Une fois activée, cette amélioration peut àêtre utilisée un nombre de fois égal au niveau du cypher, mais seulement dans un délai de vingt-quatre heures. L'amélioration prend effet chaque fois que l'action est réalisée. Par exemple, un cypher de niveau 3 améliore les trois premières fois que cette action est tentée. Lancez un d100 pour déterminer l'action.</v>
      </c>
    </row>
    <row r="159" customFormat="false" ht="15" hidden="false" customHeight="false" outlineLevel="0" collapsed="false">
      <c r="A159" s="2" t="s">
        <v>474</v>
      </c>
      <c r="B159" s="2"/>
      <c r="C159" s="2" t="s">
        <v>475</v>
      </c>
      <c r="D159" s="2" t="s">
        <v>473</v>
      </c>
      <c r="E159" s="2" t="str">
        <f aca="false">VLOOKUP(fantasycypherrs[[#This Row],[Cypher Name]],Sheet1!E:O,11,FALSE())</f>
        <v>Fabricant d'Esclaves</v>
      </c>
      <c r="F159" s="2" t="str">
        <f aca="false">VLOOKUP(fantasycypherrs[[#This Row],[Cypher Name]],Sheet1!E:O,5,FALSE())</f>
        <v>1d6 + 2</v>
      </c>
      <c r="G159" s="2" t="str">
        <f aca="false">VLOOKUP(fantasycypherrs[[#This Row],[Cypher Name]],Sheet1!E:O,2,FALSE())</f>
        <v>Pour activer le cypher, l'utilisateur doit réussir une attaque au corps à  corps contre une créature de taille comparable à  la sienne et dont le niveau ne dépasse pas celui du cypher. Le cypher se lie à  la cible, qui devient immédiatement calme. La cible attend les commandes de l'utilisateur et exécute tous les ordres du mieux qu'elle peut. La cible reste ainsi asservie pendant un nombre d'heures égal au niveau du cypher moins le niveau de la cible. (Si le résultat est 0, la cible est asservie pendant seulement une minute.)</v>
      </c>
    </row>
    <row r="160" customFormat="false" ht="15" hidden="false" customHeight="false" outlineLevel="0" collapsed="false">
      <c r="A160" s="2" t="s">
        <v>476</v>
      </c>
      <c r="B160" s="2"/>
      <c r="C160" s="2" t="s">
        <v>477</v>
      </c>
      <c r="D160" s="2" t="s">
        <v>473</v>
      </c>
      <c r="E160" s="2" t="str">
        <f aca="false">VLOOKUP(fantasycypherrs[[#This Row],[Cypher Name]],Sheet1!E:O,11,FALSE())</f>
        <v>Inducteur de Sommeil</v>
      </c>
      <c r="F160" s="2" t="str">
        <f aca="false">VLOOKUP(fantasycypherrs[[#This Row],[Cypher Name]],Sheet1!E:O,5,FALSE())</f>
        <v>1d6</v>
      </c>
      <c r="G160" s="2" t="str">
        <f aca="false">VLOOKUP(fantasycypherrs[[#This Row],[Cypher Name]],Sheet1!E:O,2,FALSE())</f>
        <v>Un contact endort la victime pendant dix minutes par niveau de cypher ou jusqu'à  ce qu'elle soit réveillée par une action violente ou un bruit extràêmement fort.</v>
      </c>
    </row>
    <row r="161" customFormat="false" ht="15" hidden="false" customHeight="false" outlineLevel="0" collapsed="false">
      <c r="A161" s="2" t="s">
        <v>478</v>
      </c>
      <c r="B161" s="2"/>
      <c r="C161" s="2" t="s">
        <v>479</v>
      </c>
      <c r="D161" s="2" t="s">
        <v>473</v>
      </c>
      <c r="E161" s="2" t="str">
        <f aca="false">VLOOKUP(fantasycypherrs[[#This Row],[Cypher Name]],Sheet1!E:O,11,FALSE())</f>
        <v>Module de Tireur d'Elite</v>
      </c>
      <c r="F161" s="2" t="str">
        <f aca="false">VLOOKUP(fantasycypherrs[[#This Row],[Cypher Name]],Sheet1!E:O,5,FALSE())</f>
        <v>1d6</v>
      </c>
      <c r="G161" s="2" t="str">
        <f aca="false">VLOOKUP(fantasycypherrs[[#This Row],[Cypher Name]],Sheet1!E:O,2,FALSE())</f>
        <v>Pendant l'heure suivante par niveau de cypher, la portée effective de l'arme à  distance de l'utilisateur augmente d'une catégorie (immédiate à  courte, courte à  longue, longue à  très longue, très longue à  1 000 pieds (300m)). Une arme ayant une portée supérieure à  très longue voit sa portée doublée.</v>
      </c>
    </row>
    <row r="162" customFormat="false" ht="15" hidden="false" customHeight="false" outlineLevel="0" collapsed="false">
      <c r="A162" s="2" t="s">
        <v>480</v>
      </c>
      <c r="B162" s="2"/>
      <c r="C162" s="2" t="s">
        <v>481</v>
      </c>
      <c r="D162" s="2" t="s">
        <v>473</v>
      </c>
      <c r="E162" s="2" t="str">
        <f aca="false">VLOOKUP(fantasycypherrs[[#This Row],[Cypher Name]],Sheet1!E:O,11,FALSE())</f>
        <v>Solvant</v>
      </c>
      <c r="F162" s="2" t="str">
        <f aca="false">VLOOKUP(fantasycypherrs[[#This Row],[Cypher Name]],Sheet1!E:O,5,FALSE())</f>
        <v>1d10</v>
      </c>
      <c r="G162" s="2" t="str">
        <f aca="false">VLOOKUP(fantasycypherrs[[#This Row],[Cypher Name]],Sheet1!E:O,2,FALSE())</f>
        <v>Dissout 1 pied cube de matériel chaque round. Après un round par niveau de cypher, le cypher devient inerte.</v>
      </c>
    </row>
    <row r="163" customFormat="false" ht="15" hidden="false" customHeight="false" outlineLevel="0" collapsed="false">
      <c r="A163" s="2" t="s">
        <v>482</v>
      </c>
      <c r="B163" s="2"/>
      <c r="C163" s="2" t="s">
        <v>483</v>
      </c>
      <c r="D163" s="2" t="s">
        <v>473</v>
      </c>
      <c r="E163" s="2" t="str">
        <f aca="false">VLOOKUP(fantasycypherrs[[#This Row],[Cypher Name]],Sheet1!E:O,11,FALSE())</f>
        <v>Trou Sonore</v>
      </c>
      <c r="F163" s="2" t="str">
        <f aca="false">VLOOKUP(fantasycypherrs[[#This Row],[Cypher Name]],Sheet1!E:O,5,FALSE())</f>
        <v>1d6 + 2</v>
      </c>
      <c r="G163" s="2" t="str">
        <f aca="false">VLOOKUP(fantasycypherrs[[#This Row],[Cypher Name]],Sheet1!E:O,2,FALSE())</f>
        <v>Attire tout le son dans un rayon de longue portée dans le dispositif pendant un round par niveau de cypher. Dans la zone affectée, aucun son ne peut àêtre entendu.</v>
      </c>
    </row>
    <row r="164" customFormat="false" ht="15" hidden="false" customHeight="false" outlineLevel="0" collapsed="false">
      <c r="A164" s="2" t="s">
        <v>484</v>
      </c>
      <c r="B164" s="2"/>
      <c r="C164" s="2" t="s">
        <v>485</v>
      </c>
      <c r="D164" s="2" t="s">
        <v>473</v>
      </c>
      <c r="E164" s="2" t="str">
        <f aca="false">VLOOKUP(fantasycypherrs[[#This Row],[Cypher Name]],Sheet1!E:O,11,FALSE())</f>
        <v>Atténuateur de Son</v>
      </c>
      <c r="F164" s="2" t="str">
        <f aca="false">VLOOKUP(fantasycypherrs[[#This Row],[Cypher Name]],Sheet1!E:O,5,FALSE())</f>
        <v>1d6 + 2</v>
      </c>
      <c r="G164" s="2" t="str">
        <f aca="false">VLOOKUP(fantasycypherrs[[#This Row],[Cypher Name]],Sheet1!E:O,2,FALSE())</f>
        <v>Atténue tout son dans un rayon immédiat pendant une minute par niveau de cypher, offrant un Avantage sur les actions de furtivité pour toutes les créatures de la zone.</v>
      </c>
    </row>
    <row r="165" customFormat="false" ht="15" hidden="false" customHeight="false" outlineLevel="0" collapsed="false">
      <c r="A165" s="2" t="s">
        <v>486</v>
      </c>
      <c r="B165" s="2"/>
      <c r="C165" s="2" t="s">
        <v>487</v>
      </c>
      <c r="D165" s="2" t="s">
        <v>473</v>
      </c>
      <c r="E165" s="2" t="str">
        <f aca="false">VLOOKUP(fantasycypherrs[[#This Row],[Cypher Name]],Sheet1!E:O,11,FALSE())</f>
        <v>Distorsion Spatiale</v>
      </c>
      <c r="F165" s="2" t="str">
        <f aca="false">VLOOKUP(fantasycypherrs[[#This Row],[Cypher Name]],Sheet1!E:O,5,FALSE())</f>
        <v>1d6 + 4</v>
      </c>
      <c r="G165" s="2" t="str">
        <f aca="false">VLOOKUP(fantasycypherrs[[#This Row],[Cypher Name]],Sheet1!E:O,2,FALSE())</f>
        <v>Lorsqu'il est fixé à  un dispositif qui affecte une cible unique à  distance, cette distance est augmentée à  1 mile (1,5 km) sans pénalités. L'espace est temporairement déformé en termes de visibilité et d'atteinte de la cible. Si la ligne de vue directe est importante pour l'effet du dispositif, elle reste importante. La distorsion spatiale dure 10 minutes par niveau de cypher.</v>
      </c>
    </row>
    <row r="166" customFormat="false" ht="15" hidden="false" customHeight="false" outlineLevel="0" collapsed="false">
      <c r="A166" s="2" t="s">
        <v>488</v>
      </c>
      <c r="B166" s="2"/>
      <c r="C166" s="2" t="s">
        <v>489</v>
      </c>
      <c r="D166" s="2" t="s">
        <v>490</v>
      </c>
      <c r="E166" s="2" t="str">
        <f aca="false">VLOOKUP(fantasycypherrs[[#This Row],[Cypher Name]],Sheet1!E:O,11,FALSE())</f>
        <v>Amélioration de Célérité</v>
      </c>
      <c r="F166" s="2" t="str">
        <f aca="false">VLOOKUP(fantasycypherrs[[#This Row],[Cypher Name]],Sheet1!E:O,5,FALSE())</f>
        <v>1d6 + 2</v>
      </c>
      <c r="G166" s="2" t="str">
        <f aca="false">VLOOKUP(fantasycypherrs[[#This Row],[Cypher Name]],Sheet1!E:O,2,FALSE())</f>
        <v>Ajoute 1 à  l'Avantage de Célérité de l'utilisateur pendant une heure (ajoute 2 si le cypher est de niveau 5 ou supérieur).</v>
      </c>
    </row>
    <row r="167" customFormat="false" ht="15" hidden="false" customHeight="false" outlineLevel="0" collapsed="false">
      <c r="A167" s="2" t="s">
        <v>491</v>
      </c>
      <c r="B167" s="2"/>
      <c r="C167" s="2" t="s">
        <v>492</v>
      </c>
      <c r="D167" s="2" t="s">
        <v>490</v>
      </c>
      <c r="E167" s="2" t="str">
        <f aca="false">VLOOKUP(fantasycypherrs[[#This Row],[Cypher Name]],Sheet1!E:O,11,FALSE())</f>
        <v>Espion</v>
      </c>
      <c r="F167" s="2" t="str">
        <f aca="false">VLOOKUP(fantasycypherrs[[#This Row],[Cypher Name]],Sheet1!E:O,5,FALSE())</f>
        <v>1d6 + 2</v>
      </c>
      <c r="G167" s="2" t="str">
        <f aca="false">VLOOKUP(fantasycypherrs[[#This Row],[Cypher Name]],Sheet1!E:O,2,FALSE())</f>
        <v>Produit un petit objet d'espionnage qui résiste à  la détection comme une créature de niveau 8. L'objet se déplace à  grande vitesse, cartographiant et scannant une zone inconnue. Il se déplace de 500 pieds (150 m) par niveau, scannant une zone jusqu'à  50 pieds (15 m) autour de lui. Il identifie la disposition de base, les créatures et les principales sources d'énergie. Son mouvement est bloqué par toute barrière physique ou énergétique. à€ la fin de son parcours de cartographie, il revient à  l'utilisateur et fait un rapport. S'il découvre une cible prédéfinie durant son parcours (comme "une créature de niveau 5 ou supérieur", "une porte verrouillée", "une source d'énergie majeure", etc.), il explose à  la place, infligeant des dégâts égaux au niveau du cypher (moitié de dégâts électriques, moitié de dégâts d'éclats) à  toutes les créatures et objets à  portée courte.</v>
      </c>
    </row>
    <row r="168" customFormat="false" ht="15" hidden="false" customHeight="false" outlineLevel="0" collapsed="false">
      <c r="A168" s="2" t="s">
        <v>493</v>
      </c>
      <c r="B168" s="2"/>
      <c r="C168" s="2" t="s">
        <v>494</v>
      </c>
      <c r="D168" s="2" t="s">
        <v>490</v>
      </c>
      <c r="E168" s="2" t="str">
        <f aca="false">VLOOKUP(fantasycypherrs[[#This Row],[Cypher Name]],Sheet1!E:O,11,FALSE())</f>
        <v>Gardien de Stase</v>
      </c>
      <c r="F168" s="2" t="str">
        <f aca="false">VLOOKUP(fantasycypherrs[[#This Row],[Cypher Name]],Sheet1!E:O,5,FALSE())</f>
        <v>1d6</v>
      </c>
      <c r="G168" s="2" t="str">
        <f aca="false">VLOOKUP(fantasycypherrs[[#This Row],[Cypher Name]],Sheet1!E:O,2,FALSE())</f>
        <v>Met un sujet en stase pendant un nombre de jours égal au niveau du cypher, ou jusqu'à  ce qu'il soit violemment perturbé. Un objet en stase ne vieillit pas et sort de la stase vivant et dans le màême état que celui dans lequel il est entré, sans mémoire de la période d'inactivité.</v>
      </c>
    </row>
    <row r="169" customFormat="false" ht="15" hidden="false" customHeight="false" outlineLevel="0" collapsed="false">
      <c r="A169" s="2" t="s">
        <v>495</v>
      </c>
      <c r="B169" s="2"/>
      <c r="C169" s="2" t="s">
        <v>496</v>
      </c>
      <c r="D169" s="2" t="s">
        <v>490</v>
      </c>
      <c r="E169" s="2" t="str">
        <f aca="false">VLOOKUP(fantasycypherrs[[#This Row],[Cypher Name]],Sheet1!E:O,11,FALSE())</f>
        <v>Stimulant</v>
      </c>
      <c r="F169" s="2" t="str">
        <f aca="false">VLOOKUP(fantasycypherrs[[#This Row],[Cypher Name]],Sheet1!E:O,5,FALSE())</f>
        <v>1d6</v>
      </c>
      <c r="G169" s="2" t="str">
        <f aca="false">VLOOKUP(fantasycypherrs[[#This Row],[Cypher Name]],Sheet1!E:O,2,FALSE())</f>
        <v>Facilite la prochaine action de l'utilisateur de trois crans.</v>
      </c>
    </row>
    <row r="170" customFormat="false" ht="15" hidden="false" customHeight="false" outlineLevel="0" collapsed="false">
      <c r="A170" s="2" t="s">
        <v>497</v>
      </c>
      <c r="B170" s="2"/>
      <c r="C170" s="2" t="s">
        <v>498</v>
      </c>
      <c r="D170" s="2" t="s">
        <v>490</v>
      </c>
      <c r="E170" s="2" t="str">
        <f aca="false">VLOOKUP(fantasycypherrs[[#This Row],[Cypher Name]],Sheet1!E:O,11,FALSE())</f>
        <v>Amélioration de Puissance</v>
      </c>
      <c r="F170" s="2" t="str">
        <f aca="false">VLOOKUP(fantasycypherrs[[#This Row],[Cypher Name]],Sheet1!E:O,5,FALSE())</f>
        <v>1d6 + 2</v>
      </c>
      <c r="G170" s="2" t="str">
        <f aca="false">VLOOKUP(fantasycypherrs[[#This Row],[Cypher Name]],Sheet1!E:O,2,FALSE())</f>
        <v>Ajoute 1 à  l'Avantage de Puissance pendant une heure (ou 2 si le cypher est de niveau 5 ou supérieur).</v>
      </c>
    </row>
    <row r="171" customFormat="false" ht="15" hidden="false" customHeight="false" outlineLevel="0" collapsed="false">
      <c r="A171" s="2" t="s">
        <v>499</v>
      </c>
      <c r="B171" s="2"/>
      <c r="C171" s="2" t="s">
        <v>500</v>
      </c>
      <c r="D171" s="2" t="s">
        <v>490</v>
      </c>
      <c r="E171" s="2" t="str">
        <f aca="false">VLOOKUP(fantasycypherrs[[#This Row],[Cypher Name]],Sheet1!E:O,11,FALSE())</f>
        <v>Amplificateur de Puissance</v>
      </c>
      <c r="F171" s="2" t="str">
        <f aca="false">VLOOKUP(fantasycypherrs[[#This Row],[Cypher Name]],Sheet1!E:O,5,FALSE())</f>
        <v>1d6</v>
      </c>
      <c r="G171" s="2" t="str">
        <f aca="false">VLOOKUP(fantasycypherrs[[#This Row],[Cypher Name]],Sheet1!E:O,2,FALSE())</f>
        <v>Toutes les tâches non-combattantes impliquant de la force brute&amp;mdash;comme forcer une porte, soulever un lourd rocher, ouvrir des portes d'ascenseur, participer à  une compétition de haltérophilie, etc.&amp;mdash;sont facilitées de deux niveaux pendant une heure.</v>
      </c>
    </row>
    <row r="172" customFormat="false" ht="15" hidden="false" customHeight="false" outlineLevel="0" collapsed="false">
      <c r="A172" s="2" t="s">
        <v>501</v>
      </c>
      <c r="B172" s="2"/>
      <c r="C172" s="2" t="s">
        <v>502</v>
      </c>
      <c r="D172" s="2" t="s">
        <v>490</v>
      </c>
      <c r="E172" s="2" t="str">
        <f aca="false">VLOOKUP(fantasycypherrs[[#This Row],[Cypher Name]],Sheet1!E:O,11,FALSE())</f>
        <v>Champ de Subjugation</v>
      </c>
      <c r="F172" s="2" t="str">
        <f aca="false">VLOOKUP(fantasycypherrs[[#This Row],[Cypher Name]],Sheet1!E:O,5,FALSE())</f>
        <v>1d6 + 3</v>
      </c>
      <c r="G172" s="2" t="str">
        <f aca="false">VLOOKUP(fantasycypherrs[[#This Row],[Cypher Name]],Sheet1!E:O,2,FALSE())</f>
        <v>Deux rounds après son activation, le dispositif crée un champ invisible qui remplit une zone spécifiée (comme un cube d'une courte distance) dans un rayon de longue portée. Le champ dure une minute. Il affecte les esprits des àêtres pensants à  l'intérieur du champ, les empàêchant de prendre des actions hostiles. L'effet dure tant qu'ils restent dans le champ et pendant 1d6 rounds après, bien qu'un jet de Défense d'Intellect soit autorisé chaque round pour agir normalement (à  la fois dans le champ et après l'avoir quitté).</v>
      </c>
    </row>
    <row r="173" customFormat="false" ht="15" hidden="false" customHeight="false" outlineLevel="0" collapsed="false">
      <c r="A173" s="2" t="s">
        <v>503</v>
      </c>
      <c r="B173" s="2"/>
      <c r="C173" s="2" t="s">
        <v>504</v>
      </c>
      <c r="D173" s="2" t="s">
        <v>490</v>
      </c>
      <c r="E173" s="2" t="str">
        <f aca="false">VLOOKUP(fantasycypherrs[[#This Row],[Cypher Name]],Sheet1!E:O,11,FALSE())</f>
        <v>Télépathie</v>
      </c>
      <c r="F173" s="2" t="str">
        <f aca="false">VLOOKUP(fantasycypherrs[[#This Row],[Cypher Name]],Sheet1!E:O,5,FALSE())</f>
        <v>1d6 + 2</v>
      </c>
      <c r="G173" s="2" t="str">
        <f aca="false">VLOOKUP(fantasycypherrs[[#This Row],[Cypher Name]],Sheet1!E:O,2,FALSE())</f>
        <v>Pendant une heure, le dispositif permet une communication mentale à  longue distance avec quiconque que l'utilisateur peut voir.</v>
      </c>
    </row>
    <row r="174" customFormat="false" ht="15" hidden="false" customHeight="false" outlineLevel="0" collapsed="false">
      <c r="A174" s="2" t="s">
        <v>505</v>
      </c>
      <c r="B174" s="2"/>
      <c r="C174" s="2" t="s">
        <v>506</v>
      </c>
      <c r="D174" s="2" t="s">
        <v>490</v>
      </c>
      <c r="E174" s="2" t="str">
        <f aca="false">VLOOKUP(fantasycypherrs[[#This Row],[Cypher Name]],Sheet1!E:O,11,FALSE())</f>
        <v>Téléporteur (Sauter)</v>
      </c>
      <c r="F174" s="2" t="str">
        <f aca="false">VLOOKUP(fantasycypherrs[[#This Row],[Cypher Name]],Sheet1!E:O,5,FALSE())</f>
        <v>1d6 + 2</v>
      </c>
      <c r="G174" s="2" t="str">
        <f aca="false">VLOOKUP(fantasycypherrs[[#This Row],[Cypher Name]],Sheet1!E:O,2,FALSE())</f>
        <v>L'utilisateur se téléporte jusqu'à  100 x le niveau du cypher en pieds vers un endroit qu'il peut voir. Il arrive en toute sécurité avec ses possessions, mais ne peut rien d'autre emporter avec lui.</v>
      </c>
    </row>
    <row r="175" customFormat="false" ht="15" hidden="false" customHeight="false" outlineLevel="0" collapsed="false">
      <c r="A175" s="2" t="s">
        <v>507</v>
      </c>
      <c r="B175" s="2"/>
      <c r="C175" s="2" t="s">
        <v>508</v>
      </c>
      <c r="D175" s="2" t="s">
        <v>490</v>
      </c>
      <c r="E175" s="2" t="str">
        <f aca="false">VLOOKUP(fantasycypherrs[[#This Row],[Cypher Name]],Sheet1!E:O,11,FALSE())</f>
        <v>Téléporteur (Interstellaire)</v>
      </c>
      <c r="F175" s="2" t="str">
        <f aca="false">VLOOKUP(fantasycypherrs[[#This Row],[Cypher Name]],Sheet1!E:O,5,FALSE())</f>
        <v>1d6 + 4</v>
      </c>
      <c r="G175" s="2" t="str">
        <f aca="false">VLOOKUP(fantasycypherrs[[#This Row],[Cypher Name]],Sheet1!E:O,2,FALSE())</f>
        <v>L'utilisateur se téléporte n'importe oà¹ dans la galaxie vers un endroit qu'il a déjà  visité ou vu. Il arrive en toute sécurité avec ses possessions, mais ne peut rien d'autre emporter avec lui.</v>
      </c>
    </row>
    <row r="176" customFormat="false" ht="15" hidden="false" customHeight="false" outlineLevel="0" collapsed="false">
      <c r="A176" s="2" t="s">
        <v>509</v>
      </c>
      <c r="B176" s="2"/>
      <c r="C176" s="2" t="s">
        <v>510</v>
      </c>
      <c r="D176" s="2" t="s">
        <v>490</v>
      </c>
      <c r="E176" s="2" t="str">
        <f aca="false">VLOOKUP(fantasycypherrs[[#This Row],[Cypher Name]],Sheet1!E:O,11,FALSE())</f>
        <v>Téléporteur (Planétaire)</v>
      </c>
      <c r="F176" s="2" t="str">
        <f aca="false">VLOOKUP(fantasycypherrs[[#This Row],[Cypher Name]],Sheet1!E:O,5,FALSE())</f>
        <v>1d6 + 4</v>
      </c>
      <c r="G176" s="2" t="str">
        <f aca="false">VLOOKUP(fantasycypherrs[[#This Row],[Cypher Name]],Sheet1!E:O,2,FALSE())</f>
        <v>L'utilisateur se téléporte n'importe oà¹ sur la planète vers un endroit qu'il a déjà  visité ou vu. Il arrive en toute sécurité avec ses possessions, mais ne peut rien d'autre emporter avec lui.</v>
      </c>
    </row>
    <row r="177" customFormat="false" ht="15" hidden="false" customHeight="false" outlineLevel="0" collapsed="false">
      <c r="A177" s="2" t="s">
        <v>511</v>
      </c>
      <c r="B177" s="2"/>
      <c r="C177" s="2" t="s">
        <v>512</v>
      </c>
      <c r="D177" s="2" t="s">
        <v>490</v>
      </c>
      <c r="E177" s="2" t="str">
        <f aca="false">VLOOKUP(fantasycypherrs[[#This Row],[Cypher Name]],Sheet1!E:O,11,FALSE())</f>
        <v>Téléporteur (Voyageur)</v>
      </c>
      <c r="F177" s="2" t="str">
        <f aca="false">VLOOKUP(fantasycypherrs[[#This Row],[Cypher Name]],Sheet1!E:O,5,FALSE())</f>
        <v>1d6 + 4</v>
      </c>
      <c r="G177" s="2" t="str">
        <f aca="false">VLOOKUP(fantasycypherrs[[#This Row],[Cypher Name]],Sheet1!E:O,2,FALSE())</f>
        <v>L'utilisateur se téléporte jusqu'à  100 x le niveau du cypher en miles vers un endroit qu'il a déjà  visité ou vu. Il arrive en toute sécurité avec ses possessions, mais ne peut rien d'autre emporter avec lui.</v>
      </c>
    </row>
    <row r="178" customFormat="false" ht="15" hidden="false" customHeight="false" outlineLevel="0" collapsed="false">
      <c r="A178" s="2" t="s">
        <v>513</v>
      </c>
      <c r="B178" s="2"/>
      <c r="C178" s="2" t="s">
        <v>514</v>
      </c>
      <c r="D178" s="2" t="s">
        <v>515</v>
      </c>
      <c r="E178" s="2" t="str">
        <f aca="false">VLOOKUP(fantasycypherrs[[#This Row],[Cypher Name]],Sheet1!E:O,11,FALSE())</f>
        <v>Vision Temporelle</v>
      </c>
      <c r="F178" s="2" t="str">
        <f aca="false">VLOOKUP(fantasycypherrs[[#This Row],[Cypher Name]],Sheet1!E:O,5,FALSE())</f>
        <v>1d6 + 4</v>
      </c>
      <c r="G178" s="2" t="str">
        <f aca="false">VLOOKUP(fantasycypherrs[[#This Row],[Cypher Name]],Sheet1!E:O,2,FALSE())</f>
        <v>Affiche des images et des sons animés, jusqu'à  dix minutes par niveau de cypher, représentant des événements qui se sont produits à  l'emplacement actuel jusqu'à  un an auparavant. L'utilisateur spécifie la période de temps montrée par le visualiseur.</v>
      </c>
    </row>
    <row r="179" customFormat="false" ht="15" hidden="false" customHeight="false" outlineLevel="0" collapsed="false">
      <c r="A179" s="2" t="s">
        <v>516</v>
      </c>
      <c r="B179" s="2"/>
      <c r="C179" s="2" t="s">
        <v>517</v>
      </c>
      <c r="D179" s="2" t="s">
        <v>515</v>
      </c>
      <c r="E179" s="2" t="str">
        <f aca="false">VLOOKUP(fantasycypherrs[[#This Row],[Cypher Name]],Sheet1!E:O,11,FALSE())</f>
        <v>Dilatation Temporelle (Défensive)</v>
      </c>
      <c r="F179" s="2" t="str">
        <f aca="false">VLOOKUP(fantasycypherrs[[#This Row],[Cypher Name]],Sheet1!E:O,5,FALSE())</f>
        <v>1d6</v>
      </c>
      <c r="G179" s="2" t="str">
        <f aca="false">VLOOKUP(fantasycypherrs[[#This Row],[Cypher Name]],Sheet1!E:O,2,FALSE())</f>
        <v>Pendant les vingt-quatre heures suivantes, lorsque l'utilisateur est attaqué, il se déplace par des sauts rapides, apparemment aléatoires, de quelques centimètres d'un côté ou de l'autre. Cela constitue un Avantage qui modifie les jets de défense de l'utilisateur de deux niveaux (trois niveaux si le cypher est de niveau 6 ou supérieur).</v>
      </c>
    </row>
    <row r="180" customFormat="false" ht="15" hidden="false" customHeight="false" outlineLevel="0" collapsed="false">
      <c r="A180" s="2" t="s">
        <v>518</v>
      </c>
      <c r="B180" s="2"/>
      <c r="C180" s="2" t="s">
        <v>519</v>
      </c>
      <c r="D180" s="2" t="s">
        <v>515</v>
      </c>
      <c r="E180" s="2" t="str">
        <f aca="false">VLOOKUP(fantasycypherrs[[#This Row],[Cypher Name]],Sheet1!E:O,11,FALSE())</f>
        <v>Dilatation Temporelle (Offensive)</v>
      </c>
      <c r="F180" s="2" t="str">
        <f aca="false">VLOOKUP(fantasycypherrs[[#This Row],[Cypher Name]],Sheet1!E:O,5,FALSE())</f>
        <v>1d6</v>
      </c>
      <c r="G180" s="2" t="str">
        <f aca="false">VLOOKUP(fantasycypherrs[[#This Row],[Cypher Name]],Sheet1!E:O,2,FALSE())</f>
        <v>Pendant les vingt-quatre heures suivantes, lorsque l'utilisateur effectue une attaque au corps à  corps, il se déplace à  une vitesse presque instantanée, facilitant ses attaques de deux niveaux (trois niveaux si le cypher est de niveau 6 ou supérieur).</v>
      </c>
    </row>
    <row r="181" customFormat="false" ht="15" hidden="false" customHeight="false" outlineLevel="0" collapsed="false">
      <c r="A181" s="2" t="s">
        <v>520</v>
      </c>
      <c r="B181" s="2"/>
      <c r="C181" s="2" t="s">
        <v>521</v>
      </c>
      <c r="D181" s="2" t="s">
        <v>515</v>
      </c>
      <c r="E181" s="2" t="str">
        <f aca="false">VLOOKUP(fantasycypherrs[[#This Row],[Cypher Name]],Sheet1!E:O,11,FALSE())</f>
        <v>Régénération des Tissus</v>
      </c>
      <c r="F181" s="2" t="str">
        <f aca="false">VLOOKUP(fantasycypherrs[[#This Row],[Cypher Name]],Sheet1!E:O,5,FALSE())</f>
        <v>1d6 + 4</v>
      </c>
      <c r="G181" s="2" t="str">
        <f aca="false">VLOOKUP(fantasycypherrs[[#This Row],[Cypher Name]],Sheet1!E:O,2,FALSE())</f>
        <v>Pendant la prochaine heure, l'utilisateur regagne 1 point perdu à  cause de dégâts par round, jusqu'à  un total de points égal au double du niveau du cypher. à€ chaque point regagné, il choisit à  quelle Réserve l'ajouter. Si toutes ses Réserves sont à  leur maximum, la régénération fait une pause jusqu'à  ce qu'il subisse d'autres dégâts, moment auquel elle recommence (s'il reste du temps dans l'heure) jusqu'à  l'expiration de la durée.</v>
      </c>
    </row>
    <row r="182" customFormat="false" ht="15" hidden="false" customHeight="false" outlineLevel="0" collapsed="false">
      <c r="A182" s="2" t="s">
        <v>522</v>
      </c>
      <c r="B182" s="2"/>
      <c r="C182" s="2" t="s">
        <v>523</v>
      </c>
      <c r="D182" s="2" t="s">
        <v>515</v>
      </c>
      <c r="E182" s="2" t="str">
        <f aca="false">VLOOKUP(fantasycypherrs[[#This Row],[Cypher Name]],Sheet1!E:O,11,FALSE())</f>
        <v>Traceur</v>
      </c>
      <c r="F182" s="2" t="str">
        <f aca="false">VLOOKUP(fantasycypherrs[[#This Row],[Cypher Name]],Sheet1!E:O,5,FALSE())</f>
        <v>1d6</v>
      </c>
      <c r="G182" s="2" t="str">
        <f aca="false">VLOOKUP(fantasycypherrs[[#This Row],[Cypher Name]],Sheet1!E:O,2,FALSE())</f>
        <v>Tire un traceur microscopique qui s'accroche à  toute surface dans un rayon de courte portée. Pendant les vingt-quatre heures suivantes, le lanceur indique la distance et la direction vers le traceur, tant qu'il est à  moins de 1 mile (100 miles si le cypher est de niveau 3 ou supérieur, dans la màême dimension si le cypher est de niveau 6 ou supérieur).</v>
      </c>
    </row>
    <row r="183" customFormat="false" ht="15" hidden="false" customHeight="false" outlineLevel="0" collapsed="false">
      <c r="A183" s="2" t="s">
        <v>524</v>
      </c>
      <c r="B183" s="2"/>
      <c r="C183" s="2" t="s">
        <v>525</v>
      </c>
      <c r="D183" s="2" t="s">
        <v>515</v>
      </c>
      <c r="E183" s="2" t="str">
        <f aca="false">VLOOKUP(fantasycypherrs[[#This Row],[Cypher Name]],Sheet1!E:O,11,FALSE())</f>
        <v>Intégrateur de Tours</v>
      </c>
      <c r="F183" s="2" t="str">
        <f aca="false">VLOOKUP(fantasycypherrs[[#This Row],[Cypher Name]],Sheet1!E:O,5,FALSE())</f>
        <v>1d6</v>
      </c>
      <c r="G183" s="2" t="str">
        <f aca="false">VLOOKUP(fantasycypherrs[[#This Row],[Cypher Name]],Sheet1!E:O,2,FALSE())</f>
        <v>Un animal non intelligent apprend immédiatement et parfaitement un tour (deux tours si le cypher est de niveau 4 ou supérieur) qu'il est capable d'exécuter physiquement (rouler, rester au pied, tourner, serrer la main, se rendre à  un endroit indiqué dans un rayon de longue portée, etc.). Le tour doit àêtre désigné lorsque le cypher est activé.</v>
      </c>
    </row>
    <row r="184" customFormat="false" ht="15" hidden="false" customHeight="false" outlineLevel="0" collapsed="false">
      <c r="A184" s="2" t="s">
        <v>526</v>
      </c>
      <c r="B184" s="2"/>
      <c r="C184" s="2" t="s">
        <v>527</v>
      </c>
      <c r="D184" s="2" t="s">
        <v>515</v>
      </c>
      <c r="E184" s="2" t="str">
        <f aca="false">VLOOKUP(fantasycypherrs[[#This Row],[Cypher Name]],Sheet1!E:O,11,FALSE())</f>
        <v>Source d'Energie Ininterruptible</v>
      </c>
      <c r="F184" s="2" t="str">
        <f aca="false">VLOOKUP(fantasycypherrs[[#This Row],[Cypher Name]],Sheet1!E:O,5,FALSE())</f>
        <v>1d6 + 4</v>
      </c>
      <c r="G184" s="2" t="str">
        <f aca="false">VLOOKUP(fantasycypherrs[[#This Row],[Cypher Name]],Sheet1!E:O,2,FALSE())</f>
        <v>Fournit de l'énergie à  un autre dispositif pendant jusqu'à  un jour. Le dispositif à  alimenter peut àêtre aussi simple qu'une source lumineuse ou aussi complexe qu'un petit vaisseau spatial, à  condition que le niveau du cypher soit égal aux exigences en énergie de l'objet. Une lampe de bureau nécessite un niveau de 1, un moteur de voiture nécessite un niveau de 5, et un vaisseau spatial nécessite un niveau de 10.</v>
      </c>
    </row>
    <row r="185" customFormat="false" ht="15" hidden="false" customHeight="false" outlineLevel="0" collapsed="false">
      <c r="A185" s="2" t="s">
        <v>528</v>
      </c>
      <c r="B185" s="2"/>
      <c r="C185" s="2" t="s">
        <v>529</v>
      </c>
      <c r="D185" s="2" t="s">
        <v>515</v>
      </c>
      <c r="E185" s="2" t="str">
        <f aca="false">VLOOKUP(fantasycypherrs[[#This Row],[Cypher Name]],Sheet1!E:O,11,FALSE())</f>
        <v>Disparition</v>
      </c>
      <c r="F185" s="2" t="str">
        <f aca="false">VLOOKUP(fantasycypherrs[[#This Row],[Cypher Name]],Sheet1!E:O,5,FALSE())</f>
        <v>1d6 + 2</v>
      </c>
      <c r="G185" s="2" t="str">
        <f aca="false">VLOOKUP(fantasycypherrs[[#This Row],[Cypher Name]],Sheet1!E:O,2,FALSE())</f>
        <v>L'utilisateur devient invisible pendant cinq minutes par niveau de cypher, pendant lesquelles il est spécialisé dans les tâches de furtivité et de Défense de Célérité. Cet effet prend fin s'il fait quelque chose pour révéler sa présence ou sa position&amp;mdash;attaquer, utiliser une capacité, déplacer un gros objet, etc. Si cela se produit, il peut récupérer l'effet d'invisibilité restant en prenant une action pour se concentrer sur le fait de cacher sa position.</v>
      </c>
    </row>
    <row r="186" customFormat="false" ht="15" hidden="false" customHeight="false" outlineLevel="0" collapsed="false">
      <c r="A186" s="2" t="s">
        <v>530</v>
      </c>
      <c r="B186" s="2"/>
      <c r="C186" s="2" t="s">
        <v>531</v>
      </c>
      <c r="D186" s="2" t="s">
        <v>515</v>
      </c>
      <c r="E186" s="2" t="str">
        <f aca="false">VLOOKUP(fantasycypherrs[[#This Row],[Cypher Name]],Sheet1!E:O,11,FALSE())</f>
        <v>Changeur de Visage</v>
      </c>
      <c r="F186" s="2" t="str">
        <f aca="false">VLOOKUP(fantasycypherrs[[#This Row],[Cypher Name]],Sheet1!E:O,5,FALSE())</f>
        <v>1d6</v>
      </c>
      <c r="G186" s="2" t="str">
        <f aca="false">VLOOKUP(fantasycypherrs[[#This Row],[Cypher Name]],Sheet1!E:O,2,FALSE())</f>
        <v>Change l'apparence d'une créature de taille humaine, fournissant un Avantage pour les tâches de déguisement (facilitant ces tâches de deux niveaux si le cypher est de niveau 5 ou supérieur). Le changement prend dix minutes à  appliquer et dure vingt-quatre heures.</v>
      </c>
    </row>
    <row r="187" customFormat="false" ht="15" hidden="false" customHeight="false" outlineLevel="0" collapsed="false">
      <c r="A187" s="2" t="s">
        <v>532</v>
      </c>
      <c r="B187" s="2"/>
      <c r="C187" s="2" t="s">
        <v>533</v>
      </c>
      <c r="D187" s="2" t="s">
        <v>515</v>
      </c>
      <c r="E187" s="2" t="str">
        <f aca="false">VLOOKUP(fantasycypherrs[[#This Row],[Cypher Name]],Sheet1!E:O,11,FALSE())</f>
        <v>Dispositif de Déplacement Visuel</v>
      </c>
      <c r="F187" s="2" t="str">
        <f aca="false">VLOOKUP(fantasycypherrs[[#This Row],[Cypher Name]],Sheet1!E:O,5,FALSE())</f>
        <v>1d6</v>
      </c>
      <c r="G187" s="2" t="str">
        <f aca="false">VLOOKUP(fantasycypherrs[[#This Row],[Cypher Name]],Sheet1!E:O,2,FALSE())</f>
        <v>Projette des images holographiques de l'utilisateur pour tromper les attaquants. Les images apparaissent autour de l'utilisateur, lui offrant un Avantage pour les actions de Défense de Célérité pendant dix minutes par niveau de cypher.</v>
      </c>
    </row>
    <row r="188" customFormat="false" ht="15" hidden="false" customHeight="false" outlineLevel="0" collapsed="false">
      <c r="A188" s="2" t="s">
        <v>534</v>
      </c>
      <c r="B188" s="2"/>
      <c r="C188" s="2" t="s">
        <v>535</v>
      </c>
      <c r="D188" s="2" t="s">
        <v>515</v>
      </c>
      <c r="E188" s="2" t="str">
        <f aca="false">VLOOKUP(fantasycypherrs[[#This Row],[Cypher Name]],Sheet1!E:O,11,FALSE())</f>
        <v>Traducteur Vocal</v>
      </c>
      <c r="F188" s="2" t="str">
        <f aca="false">VLOOKUP(fantasycypherrs[[#This Row],[Cypher Name]],Sheet1!E:O,5,FALSE())</f>
        <v>1d6</v>
      </c>
      <c r="G188" s="2" t="str">
        <f aca="false">VLOOKUP(fantasycypherrs[[#This Row],[Cypher Name]],Sheet1!E:O,2,FALSE())</f>
        <v>Pendant vingt-quatre heures par niveau de cypher, traduit tout ce que dit l'utilisateur dans une langue que tout le monde peut comprendre.</v>
      </c>
    </row>
    <row r="189" customFormat="false" ht="15" hidden="false" customHeight="false" outlineLevel="0" collapsed="false">
      <c r="A189" s="2" t="s">
        <v>536</v>
      </c>
      <c r="B189" s="2"/>
      <c r="C189" s="2" t="s">
        <v>537</v>
      </c>
      <c r="D189" s="2" t="s">
        <v>538</v>
      </c>
      <c r="E189" s="2" t="str">
        <f aca="false">VLOOKUP(fantasycypherrs[[#This Row],[Cypher Name]],Sheet1!E:O,11,FALSE())</f>
        <v>Chaleur</v>
      </c>
      <c r="F189" s="2" t="str">
        <f aca="false">VLOOKUP(fantasycypherrs[[#This Row],[Cypher Name]],Sheet1!E:O,5,FALSE())</f>
        <v>1d6</v>
      </c>
      <c r="G189" s="2" t="str">
        <f aca="false">VLOOKUP(fantasycypherrs[[#This Row],[Cypher Name]],Sheet1!E:O,2,FALSE())</f>
        <v>Garde l'utilisateur au chaud et à  l'aise, màême dans les températures les plus froides, pendant vingt-quatre heures. Pendant ce temps, l'utilisateur bénéficie d'une Armure égale au niveau du cypher qui protège contre les dégâts de froid.</v>
      </c>
    </row>
    <row r="190" customFormat="false" ht="15" hidden="false" customHeight="false" outlineLevel="0" collapsed="false">
      <c r="A190" s="2" t="s">
        <v>539</v>
      </c>
      <c r="B190" s="2"/>
      <c r="C190" s="2" t="s">
        <v>540</v>
      </c>
      <c r="D190" s="2" t="s">
        <v>538</v>
      </c>
      <c r="E190" s="2" t="str">
        <f aca="false">VLOOKUP(fantasycypherrs[[#This Row],[Cypher Name]],Sheet1!E:O,11,FALSE())</f>
        <v>Adaptateur Aquatique</v>
      </c>
      <c r="F190" s="2" t="str">
        <f aca="false">VLOOKUP(fantasycypherrs[[#This Row],[Cypher Name]],Sheet1!E:O,5,FALSE())</f>
        <v>1d6</v>
      </c>
      <c r="G190" s="2" t="str">
        <f aca="false">VLOOKUP(fantasycypherrs[[#This Row],[Cypher Name]],Sheet1!E:O,2,FALSE())</f>
        <v>L'utilisateur peut respirer sous l'eau et opérer à  n'importe quelle profondeur (sans subir les conséquences débilitantes des changements de pression) pendant quatre heures par niveau de cypher. Ce cypher peut également àêtre utilisé dans l'atmosphère normale, permettant à  l'utilisateur d'ignorer les effets néfastes d'une pression atmosphérique très basse ou très élevée. Le cypher ne protège pas contre le vide.</v>
      </c>
    </row>
    <row r="191" customFormat="false" ht="15" hidden="false" customHeight="false" outlineLevel="0" collapsed="false">
      <c r="A191" s="2" t="s">
        <v>541</v>
      </c>
      <c r="B191" s="2"/>
      <c r="C191" s="2" t="s">
        <v>542</v>
      </c>
      <c r="D191" s="2" t="s">
        <v>538</v>
      </c>
      <c r="E191" s="2" t="str">
        <f aca="false">VLOOKUP(fantasycypherrs[[#This Row],[Cypher Name]],Sheet1!E:O,11,FALSE())</f>
        <v>Amélioration d'Arme</v>
      </c>
      <c r="F191" s="2" t="str">
        <f aca="false">VLOOKUP(fantasycypherrs[[#This Row],[Cypher Name]],Sheet1!E:O,5,FALSE())</f>
        <v>1d6 + 2</v>
      </c>
      <c r="G191" s="2" t="str">
        <f aca="false">VLOOKUP(fantasycypherrs[[#This Row],[Cypher Name]],Sheet1!E:O,2,FALSE())</f>
        <v>Modifie l'attaque d'une arme d'une manière particulière pendant dix minutes par niveau de cypher. Lancez un d100 pour la modification.</v>
      </c>
    </row>
    <row r="192" customFormat="false" ht="15" hidden="false" customHeight="false" outlineLevel="0" collapsed="false">
      <c r="A192" s="2" t="s">
        <v>543</v>
      </c>
      <c r="B192" s="2"/>
      <c r="C192" s="2" t="s">
        <v>544</v>
      </c>
      <c r="D192" s="2" t="s">
        <v>538</v>
      </c>
      <c r="E192" s="2" t="str">
        <f aca="false">VLOOKUP(fantasycypherrs[[#This Row],[Cypher Name]],Sheet1!E:O,11,FALSE())</f>
        <v>Ailes</v>
      </c>
      <c r="F192" s="2" t="str">
        <f aca="false">VLOOKUP(fantasycypherrs[[#This Row],[Cypher Name]],Sheet1!E:O,5,FALSE())</f>
        <v>1d6 + 2</v>
      </c>
      <c r="G192" s="2" t="str">
        <f aca="false">VLOOKUP(fantasycypherrs[[#This Row],[Cypher Name]],Sheet1!E:O,2,FALSE())</f>
        <v>L'utilisateur peut voler à  sa vitesse de course normale pendant dix minutes par niveau de cypher.</v>
      </c>
    </row>
    <row r="193" customFormat="false" ht="15" hidden="false" customHeight="false" outlineLevel="0" collapsed="false">
      <c r="A193" s="2" t="s">
        <v>545</v>
      </c>
      <c r="B193" s="2"/>
      <c r="C193" s="2" t="s">
        <v>546</v>
      </c>
      <c r="D193" s="2" t="s">
        <v>538</v>
      </c>
      <c r="E193" s="2" t="str">
        <f aca="false">VLOOKUP(fantasycypherrs[[#This Row],[Cypher Name]],Sheet1!E:O,11,FALSE())</f>
        <v>Vision aux Rayons X</v>
      </c>
      <c r="F193" s="2"/>
      <c r="G193" s="2" t="str">
        <f aca="false">VLOOKUP(fantasycypherrs[[#This Row],[Cypher Name]],Sheet1!E:O,2,FALSE())</f>
        <v>Permet à  l'utilisateur de voir à  travers jusqu'à  2 pieds (60 cm) de matériau d'un niveau inférieur à  celui du cypher. L'effet dure une minute par niveau de cypher.</v>
      </c>
    </row>
    <row r="194" customFormat="false" ht="15" hidden="false" customHeight="false" outlineLevel="0" collapsed="false">
      <c r="A194" s="2" t="s">
        <v>547</v>
      </c>
      <c r="B194" s="2"/>
      <c r="C194" s="2" t="s">
        <v>548</v>
      </c>
      <c r="D194" s="0" t="n">
        <v>400</v>
      </c>
      <c r="E194" s="2" t="str">
        <f aca="false">VLOOKUP(fantasycypherrs[[#This Row],[Cypher Name]],Sheet1!E:O,11,FALSE())</f>
        <v>Champ de Point Zéro</v>
      </c>
      <c r="F194" s="2" t="str">
        <f aca="false">VLOOKUP(fantasycypherrs[[#This Row],[Cypher Name]],Sheet1!E:O,5,FALSE())</f>
        <v>1d6 + 3</v>
      </c>
      <c r="G194" s="2" t="str">
        <f aca="false">VLOOKUP(fantasycypherrs[[#This Row],[Cypher Name]],Sheet1!E:O,2,FALSE())</f>
        <v>Rend un objet inanimé à  l'extérieur des effets de la plupart des énergies pendant une minute. Cela signifie que l'objet ne peut pas àêtre endommagé, déplacé ou manipulé de quelque manière que ce soit. Il reste en place (màême en l'air).</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9.14453125" defaultRowHeight="15" zeroHeight="false" outlineLevelRow="0" outlineLevelCol="0"/>
  <cols>
    <col collapsed="false" customWidth="true" hidden="false" outlineLevel="0" max="1" min="1" style="4" width="11.57"/>
    <col collapsed="false" customWidth="true" hidden="false" outlineLevel="0" max="2" min="2" style="4" width="9.86"/>
    <col collapsed="false" customWidth="true" hidden="false" outlineLevel="0" max="3" min="3" style="4" width="10.57"/>
    <col collapsed="false" customWidth="true" hidden="false" outlineLevel="0" max="4" min="4" style="4" width="21.43"/>
    <col collapsed="false" customWidth="true" hidden="false" outlineLevel="0" max="5" min="5" style="4" width="44"/>
    <col collapsed="false" customWidth="true" hidden="false" outlineLevel="0" max="6" min="6" style="4" width="127.43"/>
    <col collapsed="false" customWidth="false" hidden="false" outlineLevel="0" max="9" min="7" style="4" width="9.14"/>
    <col collapsed="false" customWidth="true" hidden="false" outlineLevel="0" max="10" min="10" style="4" width="10.14"/>
    <col collapsed="false" customWidth="true" hidden="false" outlineLevel="0" max="11" min="11" style="4" width="14.57"/>
    <col collapsed="false" customWidth="true" hidden="false" outlineLevel="0" max="12" min="12" style="4" width="13.14"/>
    <col collapsed="false" customWidth="true" hidden="false" outlineLevel="0" max="13" min="13" style="4" width="11.14"/>
    <col collapsed="false" customWidth="false" hidden="false" outlineLevel="0" max="16384" min="14" style="4" width="9.14"/>
  </cols>
  <sheetData>
    <row r="1" customFormat="false" ht="15" hidden="false" customHeight="false" outlineLevel="0" collapsed="false">
      <c r="A1" s="4" t="s">
        <v>549</v>
      </c>
      <c r="B1" s="4" t="s">
        <v>550</v>
      </c>
      <c r="C1" s="4" t="s">
        <v>551</v>
      </c>
      <c r="D1" s="4" t="s">
        <v>552</v>
      </c>
      <c r="E1" s="4" t="s">
        <v>553</v>
      </c>
      <c r="F1" s="4" t="s">
        <v>554</v>
      </c>
      <c r="G1" s="4" t="s">
        <v>555</v>
      </c>
      <c r="H1" s="4" t="s">
        <v>556</v>
      </c>
      <c r="I1" s="4" t="s">
        <v>557</v>
      </c>
      <c r="J1" s="4" t="s">
        <v>558</v>
      </c>
      <c r="K1" s="4" t="s">
        <v>559</v>
      </c>
      <c r="L1" s="4" t="s">
        <v>560</v>
      </c>
      <c r="M1" s="4" t="s">
        <v>561</v>
      </c>
      <c r="N1" s="4" t="s">
        <v>562</v>
      </c>
      <c r="O1" s="4" t="s">
        <v>563</v>
      </c>
    </row>
    <row r="2" s="1" customFormat="true" ht="15" hidden="true" customHeight="false" outlineLevel="0" collapsed="false">
      <c r="A2" s="1" t="s">
        <v>564</v>
      </c>
      <c r="B2" s="1" t="s">
        <v>564</v>
      </c>
      <c r="C2" s="1" t="s">
        <v>564</v>
      </c>
      <c r="D2" s="1" t="s">
        <v>565</v>
      </c>
      <c r="E2" s="1" t="s">
        <v>566</v>
      </c>
      <c r="F2" s="1" t="s">
        <v>567</v>
      </c>
      <c r="I2" s="1" t="s">
        <v>568</v>
      </c>
      <c r="J2" s="1" t="s">
        <v>569</v>
      </c>
      <c r="K2" s="5" t="b">
        <f aca="false">FALSE()</f>
        <v>0</v>
      </c>
      <c r="L2" s="5" t="b">
        <f aca="false">FALSE()</f>
        <v>0</v>
      </c>
      <c r="M2" s="5" t="b">
        <f aca="false">TRUE()</f>
        <v>1</v>
      </c>
      <c r="N2" s="1" t="n">
        <f aca="false">LEN(Table1[[#This Row],[effect]])</f>
        <v>61</v>
      </c>
      <c r="O2" s="1" t="str">
        <f aca="false">Table1[[#This Row],[name]]</f>
        <v>Stimulant</v>
      </c>
    </row>
    <row r="3" s="1" customFormat="true" ht="15" hidden="true" customHeight="false" outlineLevel="0" collapsed="false">
      <c r="A3" s="1" t="s">
        <v>570</v>
      </c>
      <c r="B3" s="1" t="s">
        <v>570</v>
      </c>
      <c r="C3" s="1" t="s">
        <v>570</v>
      </c>
      <c r="D3" s="1" t="s">
        <v>571</v>
      </c>
      <c r="E3" s="1" t="s">
        <v>572</v>
      </c>
      <c r="F3" s="1" t="s">
        <v>573</v>
      </c>
      <c r="I3" s="1" t="s">
        <v>568</v>
      </c>
      <c r="J3" s="1" t="s">
        <v>574</v>
      </c>
      <c r="K3" s="5" t="b">
        <f aca="false">FALSE()</f>
        <v>0</v>
      </c>
      <c r="L3" s="5" t="b">
        <f aca="false">FALSE()</f>
        <v>0</v>
      </c>
      <c r="M3" s="5" t="b">
        <f aca="false">TRUE()</f>
        <v>1</v>
      </c>
      <c r="N3" s="1" t="n">
        <f aca="false">LEN(Table1[[#This Row],[effect]])</f>
        <v>65</v>
      </c>
      <c r="O3" s="1" t="str">
        <f aca="false">Table1[[#This Row],[name]]</f>
        <v>Stabilisateur Mental</v>
      </c>
    </row>
    <row r="4" s="1" customFormat="true" ht="15" hidden="true" customHeight="false" outlineLevel="0" collapsed="false">
      <c r="A4" s="1" t="s">
        <v>575</v>
      </c>
      <c r="B4" s="1" t="s">
        <v>575</v>
      </c>
      <c r="C4" s="1" t="s">
        <v>575</v>
      </c>
      <c r="D4" s="1" t="s">
        <v>576</v>
      </c>
      <c r="E4" s="1" t="s">
        <v>576</v>
      </c>
      <c r="F4" s="1" t="s">
        <v>577</v>
      </c>
      <c r="I4" s="1" t="s">
        <v>18</v>
      </c>
      <c r="J4" s="1" t="s">
        <v>578</v>
      </c>
      <c r="K4" s="5" t="b">
        <f aca="false">TRUE()</f>
        <v>1</v>
      </c>
      <c r="L4" s="5" t="b">
        <f aca="false">FALSE()</f>
        <v>0</v>
      </c>
      <c r="M4" s="5" t="b">
        <f aca="false">FALSE()</f>
        <v>0</v>
      </c>
      <c r="N4" s="1" t="n">
        <f aca="false">LEN(Table1[[#This Row],[effect]])</f>
        <v>70</v>
      </c>
      <c r="O4" s="1" t="str">
        <f aca="false">Table1[[#This Row],[name]]</f>
        <v>Catholicon</v>
      </c>
    </row>
    <row r="5" s="1" customFormat="true" ht="15" hidden="true" customHeight="false" outlineLevel="0" collapsed="false">
      <c r="A5" s="1" t="s">
        <v>579</v>
      </c>
      <c r="B5" s="1" t="s">
        <v>579</v>
      </c>
      <c r="C5" s="1" t="s">
        <v>579</v>
      </c>
      <c r="D5" s="1" t="s">
        <v>580</v>
      </c>
      <c r="E5" s="1" t="s">
        <v>580</v>
      </c>
      <c r="F5" s="1" t="s">
        <v>581</v>
      </c>
      <c r="I5" s="1" t="s">
        <v>18</v>
      </c>
      <c r="J5" s="1" t="s">
        <v>574</v>
      </c>
      <c r="K5" s="5" t="b">
        <f aca="false">TRUE()</f>
        <v>1</v>
      </c>
      <c r="L5" s="5" t="b">
        <f aca="false">FALSE()</f>
        <v>0</v>
      </c>
      <c r="M5" s="5" t="b">
        <f aca="false">TRUE()</f>
        <v>1</v>
      </c>
      <c r="N5" s="1" t="n">
        <f aca="false">LEN(Table1[[#This Row],[effect]])</f>
        <v>81</v>
      </c>
      <c r="O5" s="1" t="str">
        <f aca="false">Table1[[#This Row],[name]]</f>
        <v>Perfection</v>
      </c>
    </row>
    <row r="6" s="1" customFormat="true" ht="1021.6" hidden="false" customHeight="false" outlineLevel="0" collapsed="false">
      <c r="A6" s="1" t="s">
        <v>582</v>
      </c>
      <c r="B6" s="1" t="s">
        <v>582</v>
      </c>
      <c r="C6" s="1" t="s">
        <v>582</v>
      </c>
      <c r="D6" s="1" t="s">
        <v>583</v>
      </c>
      <c r="E6" s="1" t="s">
        <v>584</v>
      </c>
      <c r="F6" s="1" t="s">
        <v>443</v>
      </c>
      <c r="H6" s="6" t="s">
        <v>585</v>
      </c>
      <c r="I6" s="1" t="s">
        <v>18</v>
      </c>
      <c r="J6" s="1" t="s">
        <v>586</v>
      </c>
      <c r="K6" s="5" t="b">
        <f aca="false">FALSE()</f>
        <v>0</v>
      </c>
      <c r="L6" s="5" t="b">
        <f aca="false">FALSE()</f>
        <v>0</v>
      </c>
      <c r="M6" s="5" t="b">
        <f aca="false">TRUE()</f>
        <v>1</v>
      </c>
      <c r="N6" s="1" t="n">
        <f aca="false">LEN(Table1[[#This Row],[effect]])</f>
        <v>87</v>
      </c>
      <c r="O6" s="1" t="str">
        <f aca="false">Table1[[#This Row],[name]]</f>
        <v>Régénérateur</v>
      </c>
    </row>
    <row r="7" s="1" customFormat="true" ht="15" hidden="true" customHeight="false" outlineLevel="0" collapsed="false">
      <c r="A7" s="1" t="s">
        <v>587</v>
      </c>
      <c r="B7" s="1" t="s">
        <v>587</v>
      </c>
      <c r="C7" s="1" t="s">
        <v>587</v>
      </c>
      <c r="D7" s="1" t="s">
        <v>588</v>
      </c>
      <c r="E7" s="1" t="s">
        <v>589</v>
      </c>
      <c r="F7" s="1" t="s">
        <v>345</v>
      </c>
      <c r="I7" s="1" t="s">
        <v>18</v>
      </c>
      <c r="J7" s="1" t="s">
        <v>590</v>
      </c>
      <c r="K7" s="5" t="b">
        <f aca="false">FALSE()</f>
        <v>0</v>
      </c>
      <c r="L7" s="5" t="b">
        <f aca="false">FALSE()</f>
        <v>0</v>
      </c>
      <c r="M7" s="5" t="b">
        <f aca="false">TRUE()</f>
        <v>1</v>
      </c>
      <c r="N7" s="1" t="n">
        <f aca="false">LEN(Table1[[#This Row],[effect]])</f>
        <v>97</v>
      </c>
      <c r="O7" s="1" t="str">
        <f aca="false">Table1[[#This Row],[name]]</f>
        <v>Aide à  la Méditation</v>
      </c>
    </row>
    <row r="8" s="1" customFormat="true" ht="15" hidden="true" customHeight="false" outlineLevel="0" collapsed="false">
      <c r="A8" s="1" t="s">
        <v>591</v>
      </c>
      <c r="B8" s="1" t="s">
        <v>591</v>
      </c>
      <c r="C8" s="1" t="s">
        <v>591</v>
      </c>
      <c r="D8" s="1" t="s">
        <v>592</v>
      </c>
      <c r="E8" s="1" t="s">
        <v>593</v>
      </c>
      <c r="F8" s="1" t="s">
        <v>594</v>
      </c>
      <c r="I8" s="1" t="s">
        <v>18</v>
      </c>
      <c r="J8" s="1" t="s">
        <v>595</v>
      </c>
      <c r="K8" s="5" t="b">
        <f aca="false">TRUE()</f>
        <v>1</v>
      </c>
      <c r="L8" s="5" t="b">
        <f aca="false">TRUE()</f>
        <v>1</v>
      </c>
      <c r="M8" s="5" t="b">
        <f aca="false">FALSE()</f>
        <v>0</v>
      </c>
      <c r="N8" s="1" t="n">
        <f aca="false">LEN(Table1[[#This Row],[effect]])</f>
        <v>98</v>
      </c>
      <c r="O8" s="1" t="str">
        <f aca="false">Table1[[#This Row],[name]]</f>
        <v>Ailes</v>
      </c>
    </row>
    <row r="9" s="1" customFormat="true" ht="15" hidden="true" customHeight="false" outlineLevel="0" collapsed="false">
      <c r="A9" s="1" t="s">
        <v>596</v>
      </c>
      <c r="B9" s="1" t="s">
        <v>596</v>
      </c>
      <c r="C9" s="1" t="s">
        <v>596</v>
      </c>
      <c r="D9" s="1" t="s">
        <v>597</v>
      </c>
      <c r="E9" s="1" t="s">
        <v>598</v>
      </c>
      <c r="F9" s="1" t="s">
        <v>19</v>
      </c>
      <c r="I9" s="1" t="s">
        <v>18</v>
      </c>
      <c r="J9" s="1" t="s">
        <v>599</v>
      </c>
      <c r="K9" s="5" t="b">
        <f aca="false">FALSE()</f>
        <v>0</v>
      </c>
      <c r="L9" s="5" t="b">
        <f aca="false">FALSE()</f>
        <v>0</v>
      </c>
      <c r="M9" s="5" t="b">
        <f aca="false">TRUE()</f>
        <v>1</v>
      </c>
      <c r="N9" s="1" t="n">
        <f aca="false">LEN(Table1[[#This Row],[effect]])</f>
        <v>99</v>
      </c>
      <c r="O9" s="1" t="str">
        <f aca="false">Table1[[#This Row],[name]]</f>
        <v>Analeptique</v>
      </c>
    </row>
    <row r="10" s="1" customFormat="true" ht="15" hidden="true" customHeight="false" outlineLevel="0" collapsed="false">
      <c r="A10" s="1" t="s">
        <v>600</v>
      </c>
      <c r="B10" s="1" t="s">
        <v>600</v>
      </c>
      <c r="C10" s="1" t="s">
        <v>600</v>
      </c>
      <c r="D10" s="1" t="s">
        <v>601</v>
      </c>
      <c r="E10" s="1" t="s">
        <v>602</v>
      </c>
      <c r="F10" s="1" t="s">
        <v>603</v>
      </c>
      <c r="I10" s="1" t="s">
        <v>604</v>
      </c>
      <c r="J10" s="1" t="s">
        <v>605</v>
      </c>
      <c r="K10" s="5" t="b">
        <f aca="false">FALSE()</f>
        <v>0</v>
      </c>
      <c r="L10" s="5" t="b">
        <f aca="false">FALSE()</f>
        <v>0</v>
      </c>
      <c r="M10" s="5" t="b">
        <f aca="false">TRUE()</f>
        <v>1</v>
      </c>
      <c r="N10" s="1" t="n">
        <f aca="false">LEN(Table1[[#This Row],[effect]])</f>
        <v>99</v>
      </c>
      <c r="O10" s="1" t="str">
        <f aca="false">Table1[[#This Row],[name]]</f>
        <v>Bouclier Durable</v>
      </c>
    </row>
    <row r="11" s="1" customFormat="true" ht="15" hidden="true" customHeight="false" outlineLevel="0" collapsed="false">
      <c r="A11" s="1" t="s">
        <v>606</v>
      </c>
      <c r="B11" s="1" t="s">
        <v>606</v>
      </c>
      <c r="C11" s="1" t="s">
        <v>606</v>
      </c>
      <c r="D11" s="1" t="s">
        <v>607</v>
      </c>
      <c r="E11" s="1" t="s">
        <v>608</v>
      </c>
      <c r="F11" s="1" t="s">
        <v>80</v>
      </c>
      <c r="I11" s="1" t="s">
        <v>18</v>
      </c>
      <c r="J11" s="1" t="s">
        <v>609</v>
      </c>
      <c r="K11" s="5" t="b">
        <f aca="false">TRUE()</f>
        <v>1</v>
      </c>
      <c r="L11" s="5" t="b">
        <f aca="false">FALSE()</f>
        <v>0</v>
      </c>
      <c r="M11" s="5" t="b">
        <f aca="false">TRUE()</f>
        <v>1</v>
      </c>
      <c r="N11" s="1" t="n">
        <f aca="false">LEN(Table1[[#This Row],[effect]])</f>
        <v>100</v>
      </c>
      <c r="O11" s="1" t="str">
        <f aca="false">Table1[[#This Row],[name]]</f>
        <v>Curatif</v>
      </c>
    </row>
    <row r="12" s="1" customFormat="true" ht="2847.75" hidden="true" customHeight="false" outlineLevel="0" collapsed="false">
      <c r="A12" s="1" t="s">
        <v>610</v>
      </c>
      <c r="B12" s="1" t="s">
        <v>610</v>
      </c>
      <c r="C12" s="1" t="s">
        <v>610</v>
      </c>
      <c r="D12" s="1" t="s">
        <v>611</v>
      </c>
      <c r="E12" s="1" t="s">
        <v>611</v>
      </c>
      <c r="F12" s="1" t="s">
        <v>612</v>
      </c>
      <c r="G12" s="6" t="s">
        <v>613</v>
      </c>
      <c r="H12" s="6" t="s">
        <v>614</v>
      </c>
      <c r="I12" s="1" t="s">
        <v>18</v>
      </c>
      <c r="J12" s="1" t="s">
        <v>615</v>
      </c>
      <c r="K12" s="5" t="b">
        <f aca="false">TRUE()</f>
        <v>1</v>
      </c>
      <c r="L12" s="5" t="b">
        <f aca="false">FALSE()</f>
        <v>0</v>
      </c>
      <c r="M12" s="5" t="b">
        <f aca="false">FALSE()</f>
        <v>0</v>
      </c>
      <c r="N12" s="1" t="n">
        <f aca="false">LEN(Table1[[#This Row],[effect]])</f>
        <v>102</v>
      </c>
      <c r="O12" s="1" t="str">
        <f aca="false">Table1[[#This Row],[name]]</f>
        <v>Poison (Emotion)</v>
      </c>
    </row>
    <row r="13" s="1" customFormat="true" ht="15" hidden="true" customHeight="false" outlineLevel="0" collapsed="false">
      <c r="A13" s="1" t="s">
        <v>616</v>
      </c>
      <c r="B13" s="1" t="s">
        <v>616</v>
      </c>
      <c r="C13" s="1" t="s">
        <v>616</v>
      </c>
      <c r="D13" s="1" t="s">
        <v>617</v>
      </c>
      <c r="E13" s="1" t="s">
        <v>618</v>
      </c>
      <c r="F13" s="1" t="s">
        <v>619</v>
      </c>
      <c r="I13" s="1" t="s">
        <v>18</v>
      </c>
      <c r="J13" s="1" t="s">
        <v>569</v>
      </c>
      <c r="K13" s="5" t="b">
        <f aca="false">FALSE()</f>
        <v>0</v>
      </c>
      <c r="L13" s="5" t="b">
        <f aca="false">FALSE()</f>
        <v>0</v>
      </c>
      <c r="M13" s="5" t="b">
        <f aca="false">TRUE()</f>
        <v>1</v>
      </c>
      <c r="N13" s="1" t="n">
        <f aca="false">LEN(Table1[[#This Row],[effect]])</f>
        <v>103</v>
      </c>
      <c r="O13" s="1" t="str">
        <f aca="false">Table1[[#This Row],[name]]</f>
        <v>Amélioration de Puissance</v>
      </c>
    </row>
    <row r="14" s="1" customFormat="true" ht="15" hidden="true" customHeight="false" outlineLevel="0" collapsed="false">
      <c r="A14" s="1" t="s">
        <v>620</v>
      </c>
      <c r="B14" s="1" t="s">
        <v>620</v>
      </c>
      <c r="C14" s="1" t="s">
        <v>620</v>
      </c>
      <c r="D14" s="1" t="s">
        <v>621</v>
      </c>
      <c r="E14" s="1" t="s">
        <v>622</v>
      </c>
      <c r="F14" s="1" t="s">
        <v>623</v>
      </c>
      <c r="I14" s="1" t="s">
        <v>624</v>
      </c>
      <c r="J14" s="1" t="s">
        <v>625</v>
      </c>
      <c r="K14" s="5" t="b">
        <f aca="false">FALSE()</f>
        <v>0</v>
      </c>
      <c r="L14" s="5" t="b">
        <f aca="false">FALSE()</f>
        <v>0</v>
      </c>
      <c r="M14" s="5" t="b">
        <f aca="false">TRUE()</f>
        <v>1</v>
      </c>
      <c r="N14" s="1" t="n">
        <f aca="false">LEN(Table1[[#This Row],[effect]])</f>
        <v>107</v>
      </c>
      <c r="O14" s="1" t="str">
        <f aca="false">Table1[[#This Row],[name]]</f>
        <v>Désarmement</v>
      </c>
    </row>
    <row r="15" s="1" customFormat="true" ht="15" hidden="true" customHeight="false" outlineLevel="0" collapsed="false">
      <c r="A15" s="1" t="s">
        <v>626</v>
      </c>
      <c r="B15" s="1" t="s">
        <v>626</v>
      </c>
      <c r="C15" s="1" t="s">
        <v>626</v>
      </c>
      <c r="D15" s="1" t="s">
        <v>627</v>
      </c>
      <c r="E15" s="1" t="s">
        <v>628</v>
      </c>
      <c r="F15" s="1" t="s">
        <v>629</v>
      </c>
      <c r="I15" s="1" t="s">
        <v>630</v>
      </c>
      <c r="J15" s="1" t="s">
        <v>631</v>
      </c>
      <c r="K15" s="5" t="b">
        <f aca="false">TRUE()</f>
        <v>1</v>
      </c>
      <c r="L15" s="5" t="b">
        <f aca="false">FALSE()</f>
        <v>0</v>
      </c>
      <c r="M15" s="5" t="b">
        <f aca="false">FALSE()</f>
        <v>0</v>
      </c>
      <c r="N15" s="1" t="n">
        <f aca="false">LEN(Table1[[#This Row],[effect]])</f>
        <v>108</v>
      </c>
      <c r="O15" s="1" t="str">
        <f aca="false">Table1[[#This Row],[name]]</f>
        <v>Solvant</v>
      </c>
    </row>
    <row r="16" s="1" customFormat="true" ht="15" hidden="true" customHeight="false" outlineLevel="0" collapsed="false">
      <c r="A16" s="1" t="s">
        <v>632</v>
      </c>
      <c r="B16" s="1" t="s">
        <v>632</v>
      </c>
      <c r="C16" s="1" t="s">
        <v>632</v>
      </c>
      <c r="D16" s="1" t="s">
        <v>633</v>
      </c>
      <c r="E16" s="1" t="s">
        <v>634</v>
      </c>
      <c r="F16" s="1" t="s">
        <v>635</v>
      </c>
      <c r="I16" s="1" t="s">
        <v>18</v>
      </c>
      <c r="J16" s="1" t="s">
        <v>636</v>
      </c>
      <c r="K16" s="5" t="b">
        <f aca="false">FALSE()</f>
        <v>0</v>
      </c>
      <c r="L16" s="5" t="b">
        <f aca="false">FALSE()</f>
        <v>0</v>
      </c>
      <c r="M16" s="5" t="b">
        <f aca="false">TRUE()</f>
        <v>1</v>
      </c>
      <c r="N16" s="1" t="n">
        <f aca="false">LEN(Table1[[#This Row],[effect]])</f>
        <v>114</v>
      </c>
      <c r="O16" s="1" t="str">
        <f aca="false">Table1[[#This Row],[name]]</f>
        <v>Amplificateur d'Intellect</v>
      </c>
    </row>
    <row r="17" s="1" customFormat="true" ht="1679.85" hidden="true" customHeight="false" outlineLevel="0" collapsed="false">
      <c r="A17" s="1" t="s">
        <v>637</v>
      </c>
      <c r="B17" s="1" t="s">
        <v>637</v>
      </c>
      <c r="C17" s="1" t="s">
        <v>637</v>
      </c>
      <c r="D17" s="1" t="s">
        <v>638</v>
      </c>
      <c r="E17" s="1" t="s">
        <v>639</v>
      </c>
      <c r="F17" s="1" t="s">
        <v>640</v>
      </c>
      <c r="H17" s="6" t="s">
        <v>641</v>
      </c>
      <c r="I17" s="1" t="s">
        <v>624</v>
      </c>
      <c r="J17" s="1" t="s">
        <v>599</v>
      </c>
      <c r="K17" s="5" t="b">
        <f aca="false">TRUE()</f>
        <v>1</v>
      </c>
      <c r="L17" s="5" t="b">
        <f aca="false">FALSE()</f>
        <v>0</v>
      </c>
      <c r="M17" s="5" t="b">
        <f aca="false">FALSE()</f>
        <v>0</v>
      </c>
      <c r="N17" s="1" t="n">
        <f aca="false">LEN(Table1[[#This Row],[effect]])</f>
        <v>123</v>
      </c>
      <c r="O17" s="1" t="str">
        <f aca="false">Table1[[#This Row],[name]]</f>
        <v>Renforcement d'Armure</v>
      </c>
    </row>
    <row r="18" s="1" customFormat="true" ht="15" hidden="true" customHeight="false" outlineLevel="0" collapsed="false">
      <c r="A18" s="1" t="s">
        <v>642</v>
      </c>
      <c r="B18" s="1" t="s">
        <v>642</v>
      </c>
      <c r="C18" s="1" t="s">
        <v>642</v>
      </c>
      <c r="D18" s="1" t="s">
        <v>643</v>
      </c>
      <c r="E18" s="1" t="s">
        <v>644</v>
      </c>
      <c r="F18" s="1" t="s">
        <v>645</v>
      </c>
      <c r="I18" s="1" t="s">
        <v>568</v>
      </c>
      <c r="J18" s="1" t="s">
        <v>599</v>
      </c>
      <c r="K18" s="5" t="b">
        <f aca="false">TRUE()</f>
        <v>1</v>
      </c>
      <c r="L18" s="5" t="b">
        <f aca="false">FALSE()</f>
        <v>0</v>
      </c>
      <c r="M18" s="5" t="b">
        <f aca="false">FALSE()</f>
        <v>0</v>
      </c>
      <c r="N18" s="1" t="n">
        <f aca="false">LEN(Table1[[#This Row],[effect]])</f>
        <v>123</v>
      </c>
      <c r="O18" s="1" t="str">
        <f aca="false">Table1[[#This Row],[name]]</f>
        <v>Adhésion</v>
      </c>
    </row>
    <row r="19" s="1" customFormat="true" ht="15" hidden="true" customHeight="false" outlineLevel="0" collapsed="false">
      <c r="A19" s="1" t="s">
        <v>646</v>
      </c>
      <c r="B19" s="1" t="s">
        <v>646</v>
      </c>
      <c r="C19" s="1" t="s">
        <v>646</v>
      </c>
      <c r="D19" s="1" t="s">
        <v>647</v>
      </c>
      <c r="E19" s="1" t="s">
        <v>648</v>
      </c>
      <c r="F19" s="1" t="s">
        <v>649</v>
      </c>
      <c r="I19" s="1" t="s">
        <v>18</v>
      </c>
      <c r="J19" s="1" t="s">
        <v>569</v>
      </c>
      <c r="K19" s="5" t="b">
        <f aca="false">FALSE()</f>
        <v>0</v>
      </c>
      <c r="L19" s="5" t="b">
        <f aca="false">FALSE()</f>
        <v>0</v>
      </c>
      <c r="M19" s="5" t="b">
        <f aca="false">FALSE()</f>
        <v>0</v>
      </c>
      <c r="N19" s="1" t="n">
        <f aca="false">LEN(Table1[[#This Row],[effect]])</f>
        <v>123</v>
      </c>
      <c r="O19" s="1" t="str">
        <f aca="false">Table1[[#This Row],[name]]</f>
        <v>Amélioration de Célérité</v>
      </c>
    </row>
    <row r="20" s="1" customFormat="true" ht="15" hidden="true" customHeight="false" outlineLevel="0" collapsed="false">
      <c r="A20" s="1" t="s">
        <v>650</v>
      </c>
      <c r="B20" s="1" t="s">
        <v>650</v>
      </c>
      <c r="C20" s="1" t="s">
        <v>650</v>
      </c>
      <c r="D20" s="1" t="s">
        <v>651</v>
      </c>
      <c r="E20" s="1" t="s">
        <v>652</v>
      </c>
      <c r="F20" s="1" t="s">
        <v>653</v>
      </c>
      <c r="I20" s="1" t="s">
        <v>624</v>
      </c>
      <c r="J20" s="1" t="s">
        <v>574</v>
      </c>
      <c r="K20" s="5" t="b">
        <f aca="false">FALSE()</f>
        <v>0</v>
      </c>
      <c r="L20" s="5" t="b">
        <f aca="false">FALSE()</f>
        <v>0</v>
      </c>
      <c r="M20" s="5" t="b">
        <f aca="false">TRUE()</f>
        <v>1</v>
      </c>
      <c r="N20" s="1" t="n">
        <f aca="false">LEN(Table1[[#This Row],[effect]])</f>
        <v>125</v>
      </c>
      <c r="O20" s="1" t="str">
        <f aca="false">Table1[[#This Row],[name]]</f>
        <v>Nutrition et Hydratation</v>
      </c>
    </row>
    <row r="21" s="1" customFormat="true" ht="15" hidden="true" customHeight="false" outlineLevel="0" collapsed="false">
      <c r="A21" s="1" t="s">
        <v>654</v>
      </c>
      <c r="B21" s="1" t="s">
        <v>654</v>
      </c>
      <c r="C21" s="1" t="s">
        <v>654</v>
      </c>
      <c r="D21" s="1" t="s">
        <v>655</v>
      </c>
      <c r="E21" s="1" t="s">
        <v>656</v>
      </c>
      <c r="F21" s="1" t="s">
        <v>657</v>
      </c>
      <c r="I21" s="1" t="s">
        <v>604</v>
      </c>
      <c r="J21" s="1" t="s">
        <v>658</v>
      </c>
      <c r="K21" s="5" t="b">
        <f aca="false">TRUE()</f>
        <v>1</v>
      </c>
      <c r="L21" s="5" t="b">
        <f aca="false">FALSE()</f>
        <v>0</v>
      </c>
      <c r="M21" s="5" t="b">
        <f aca="false">FALSE()</f>
        <v>0</v>
      </c>
      <c r="N21" s="1" t="n">
        <f aca="false">LEN(Table1[[#This Row],[effect]])</f>
        <v>126</v>
      </c>
      <c r="O21" s="1" t="str">
        <f aca="false">Table1[[#This Row],[name]]</f>
        <v>Electrisant</v>
      </c>
    </row>
    <row r="22" s="1" customFormat="true" ht="15" hidden="true" customHeight="false" outlineLevel="0" collapsed="false">
      <c r="A22" s="1" t="s">
        <v>659</v>
      </c>
      <c r="B22" s="1" t="s">
        <v>659</v>
      </c>
      <c r="C22" s="1" t="s">
        <v>659</v>
      </c>
      <c r="D22" s="1" t="s">
        <v>660</v>
      </c>
      <c r="E22" s="1" t="s">
        <v>661</v>
      </c>
      <c r="F22" s="1" t="s">
        <v>662</v>
      </c>
      <c r="I22" s="1" t="s">
        <v>18</v>
      </c>
      <c r="J22" s="1" t="s">
        <v>569</v>
      </c>
      <c r="K22" s="5" t="b">
        <f aca="false">TRUE()</f>
        <v>1</v>
      </c>
      <c r="L22" s="5" t="b">
        <f aca="false">TRUE()</f>
        <v>1</v>
      </c>
      <c r="M22" s="5" t="b">
        <f aca="false">FALSE()</f>
        <v>0</v>
      </c>
      <c r="N22" s="1" t="n">
        <f aca="false">LEN(Table1[[#This Row],[effect]])</f>
        <v>128</v>
      </c>
      <c r="O22" s="1" t="str">
        <f aca="false">Table1[[#This Row],[name]]</f>
        <v>Télépathie</v>
      </c>
    </row>
    <row r="23" s="1" customFormat="true" ht="2592.5" hidden="true" customHeight="false" outlineLevel="0" collapsed="false">
      <c r="A23" s="1" t="s">
        <v>663</v>
      </c>
      <c r="B23" s="1" t="s">
        <v>663</v>
      </c>
      <c r="C23" s="1" t="s">
        <v>663</v>
      </c>
      <c r="D23" s="1" t="s">
        <v>664</v>
      </c>
      <c r="E23" s="1" t="s">
        <v>665</v>
      </c>
      <c r="F23" s="1" t="s">
        <v>666</v>
      </c>
      <c r="H23" s="6" t="s">
        <v>667</v>
      </c>
      <c r="I23" s="1" t="s">
        <v>18</v>
      </c>
      <c r="J23" s="1" t="s">
        <v>615</v>
      </c>
      <c r="K23" s="5" t="b">
        <f aca="false">TRUE()</f>
        <v>1</v>
      </c>
      <c r="L23" s="5" t="b">
        <f aca="false">TRUE()</f>
        <v>1</v>
      </c>
      <c r="M23" s="5" t="b">
        <f aca="false">FALSE()</f>
        <v>0</v>
      </c>
      <c r="N23" s="1" t="n">
        <f aca="false">LEN(Table1[[#This Row],[effect]])</f>
        <v>129</v>
      </c>
      <c r="O23" s="1" t="str">
        <f aca="false">Table1[[#This Row],[name]]</f>
        <v>Poison (Contrôle Mental)</v>
      </c>
    </row>
    <row r="24" s="1" customFormat="true" ht="15" hidden="true" customHeight="false" outlineLevel="0" collapsed="false">
      <c r="A24" s="1" t="s">
        <v>668</v>
      </c>
      <c r="B24" s="1" t="s">
        <v>668</v>
      </c>
      <c r="C24" s="1" t="s">
        <v>668</v>
      </c>
      <c r="D24" s="1" t="s">
        <v>669</v>
      </c>
      <c r="E24" s="1" t="s">
        <v>670</v>
      </c>
      <c r="F24" s="1" t="s">
        <v>671</v>
      </c>
      <c r="I24" s="1" t="s">
        <v>604</v>
      </c>
      <c r="J24" s="1" t="s">
        <v>605</v>
      </c>
      <c r="K24" s="5" t="b">
        <f aca="false">TRUE()</f>
        <v>1</v>
      </c>
      <c r="L24" s="5" t="b">
        <f aca="false">FALSE()</f>
        <v>0</v>
      </c>
      <c r="M24" s="5" t="b">
        <f aca="false">FALSE()</f>
        <v>0</v>
      </c>
      <c r="N24" s="1" t="n">
        <f aca="false">LEN(Table1[[#This Row],[effect]])</f>
        <v>132</v>
      </c>
      <c r="O24" s="1" t="str">
        <f aca="false">Table1[[#This Row],[name]]</f>
        <v>Résistance au Feu</v>
      </c>
    </row>
    <row r="25" s="1" customFormat="true" ht="3276.75" hidden="true" customHeight="false" outlineLevel="0" collapsed="false">
      <c r="A25" s="1" t="s">
        <v>672</v>
      </c>
      <c r="B25" s="1" t="s">
        <v>672</v>
      </c>
      <c r="C25" s="1" t="s">
        <v>672</v>
      </c>
      <c r="D25" s="1" t="s">
        <v>673</v>
      </c>
      <c r="E25" s="1" t="s">
        <v>674</v>
      </c>
      <c r="F25" s="1" t="s">
        <v>675</v>
      </c>
      <c r="H25" s="6" t="s">
        <v>676</v>
      </c>
      <c r="I25" s="1" t="s">
        <v>18</v>
      </c>
      <c r="J25" s="1" t="s">
        <v>595</v>
      </c>
      <c r="K25" s="5" t="b">
        <f aca="false">TRUE()</f>
        <v>1</v>
      </c>
      <c r="L25" s="5" t="b">
        <f aca="false">TRUE()</f>
        <v>1</v>
      </c>
      <c r="M25" s="5" t="b">
        <f aca="false">FALSE()</f>
        <v>0</v>
      </c>
      <c r="N25" s="1" t="n">
        <f aca="false">LEN(Table1[[#This Row],[effect]])</f>
        <v>134</v>
      </c>
      <c r="O25" s="1" t="str">
        <f aca="false">Table1[[#This Row],[name]]</f>
        <v>Amélioration d'Arme</v>
      </c>
    </row>
    <row r="26" s="1" customFormat="true" ht="15" hidden="true" customHeight="false" outlineLevel="0" collapsed="false">
      <c r="A26" s="1" t="s">
        <v>677</v>
      </c>
      <c r="B26" s="1" t="s">
        <v>677</v>
      </c>
      <c r="C26" s="1" t="s">
        <v>677</v>
      </c>
      <c r="D26" s="1" t="s">
        <v>678</v>
      </c>
      <c r="E26" s="1" t="s">
        <v>679</v>
      </c>
      <c r="F26" s="1" t="s">
        <v>680</v>
      </c>
      <c r="I26" s="1" t="s">
        <v>568</v>
      </c>
      <c r="J26" s="1" t="s">
        <v>599</v>
      </c>
      <c r="K26" s="5" t="b">
        <f aca="false">FALSE()</f>
        <v>0</v>
      </c>
      <c r="L26" s="5" t="b">
        <f aca="false">FALSE()</f>
        <v>0</v>
      </c>
      <c r="M26" s="5" t="b">
        <f aca="false">TRUE()</f>
        <v>1</v>
      </c>
      <c r="N26" s="1" t="n">
        <f aca="false">LEN(Table1[[#This Row],[effect]])</f>
        <v>134</v>
      </c>
      <c r="O26" s="1" t="str">
        <f aca="false">Table1[[#This Row],[name]]</f>
        <v>Meilleur Outil</v>
      </c>
    </row>
    <row r="27" s="1" customFormat="true" ht="15" hidden="true" customHeight="false" outlineLevel="0" collapsed="false">
      <c r="A27" s="1" t="s">
        <v>681</v>
      </c>
      <c r="B27" s="1" t="s">
        <v>681</v>
      </c>
      <c r="C27" s="1" t="s">
        <v>681</v>
      </c>
      <c r="D27" s="1" t="s">
        <v>682</v>
      </c>
      <c r="E27" s="1" t="s">
        <v>683</v>
      </c>
      <c r="F27" s="1" t="s">
        <v>684</v>
      </c>
      <c r="I27" s="1" t="s">
        <v>568</v>
      </c>
      <c r="J27" s="1" t="s">
        <v>685</v>
      </c>
      <c r="K27" s="5" t="b">
        <f aca="false">TRUE()</f>
        <v>1</v>
      </c>
      <c r="L27" s="5" t="b">
        <f aca="false">TRUE()</f>
        <v>1</v>
      </c>
      <c r="M27" s="5" t="b">
        <f aca="false">FALSE()</f>
        <v>0</v>
      </c>
      <c r="N27" s="1" t="n">
        <f aca="false">LEN(Table1[[#This Row],[effect]])</f>
        <v>138</v>
      </c>
      <c r="O27" s="1" t="str">
        <f aca="false">Table1[[#This Row],[name]]</f>
        <v>Traducteur Vocal</v>
      </c>
    </row>
    <row r="28" s="1" customFormat="true" ht="15" hidden="true" customHeight="false" outlineLevel="0" collapsed="false">
      <c r="A28" s="1" t="s">
        <v>686</v>
      </c>
      <c r="B28" s="1" t="s">
        <v>686</v>
      </c>
      <c r="C28" s="1" t="s">
        <v>686</v>
      </c>
      <c r="D28" s="1" t="s">
        <v>687</v>
      </c>
      <c r="E28" s="1" t="s">
        <v>688</v>
      </c>
      <c r="F28" s="1" t="s">
        <v>689</v>
      </c>
      <c r="I28" s="1" t="s">
        <v>604</v>
      </c>
      <c r="J28" s="1" t="s">
        <v>586</v>
      </c>
      <c r="K28" s="5" t="b">
        <f aca="false">TRUE()</f>
        <v>1</v>
      </c>
      <c r="L28" s="5" t="b">
        <f aca="false">TRUE()</f>
        <v>1</v>
      </c>
      <c r="M28" s="5" t="b">
        <f aca="false">FALSE()</f>
        <v>0</v>
      </c>
      <c r="N28" s="1" t="n">
        <f aca="false">LEN(Table1[[#This Row],[effect]])</f>
        <v>138</v>
      </c>
      <c r="O28" s="1" t="str">
        <f aca="false">Table1[[#This Row],[name]]</f>
        <v>Pic de Réalité</v>
      </c>
    </row>
    <row r="29" s="1" customFormat="true" ht="15" hidden="true" customHeight="false" outlineLevel="0" collapsed="false">
      <c r="A29" s="1" t="s">
        <v>690</v>
      </c>
      <c r="B29" s="1" t="s">
        <v>690</v>
      </c>
      <c r="C29" s="1" t="s">
        <v>690</v>
      </c>
      <c r="D29" s="1" t="s">
        <v>691</v>
      </c>
      <c r="E29" s="1" t="s">
        <v>692</v>
      </c>
      <c r="F29" s="1" t="s">
        <v>693</v>
      </c>
      <c r="I29" s="1" t="s">
        <v>18</v>
      </c>
      <c r="J29" s="1" t="s">
        <v>615</v>
      </c>
      <c r="K29" s="5" t="b">
        <f aca="false">TRUE()</f>
        <v>1</v>
      </c>
      <c r="L29" s="5" t="b">
        <f aca="false">FALSE()</f>
        <v>0</v>
      </c>
      <c r="M29" s="5" t="b">
        <f aca="false">FALSE()</f>
        <v>0</v>
      </c>
      <c r="N29" s="1" t="n">
        <f aca="false">LEN(Table1[[#This Row],[effect]])</f>
        <v>139</v>
      </c>
      <c r="O29" s="1" t="str">
        <f aca="false">Table1[[#This Row],[name]]</f>
        <v>Poison (Perturbation Mentale)</v>
      </c>
    </row>
    <row r="30" s="1" customFormat="true" ht="15" hidden="true" customHeight="false" outlineLevel="0" collapsed="false">
      <c r="A30" s="1" t="s">
        <v>694</v>
      </c>
      <c r="B30" s="1" t="s">
        <v>694</v>
      </c>
      <c r="C30" s="1" t="s">
        <v>694</v>
      </c>
      <c r="D30" s="1" t="s">
        <v>695</v>
      </c>
      <c r="E30" s="1" t="s">
        <v>696</v>
      </c>
      <c r="F30" s="1" t="s">
        <v>697</v>
      </c>
      <c r="I30" s="1" t="s">
        <v>604</v>
      </c>
      <c r="J30" s="1" t="s">
        <v>586</v>
      </c>
      <c r="K30" s="5" t="b">
        <f aca="false">TRUE()</f>
        <v>1</v>
      </c>
      <c r="L30" s="5" t="b">
        <f aca="false">FALSE()</f>
        <v>0</v>
      </c>
      <c r="M30" s="5" t="b">
        <f aca="false">FALSE()</f>
        <v>0</v>
      </c>
      <c r="N30" s="1" t="n">
        <f aca="false">LEN(Table1[[#This Row],[effect]])</f>
        <v>140</v>
      </c>
      <c r="O30" s="1" t="str">
        <f aca="false">Table1[[#This Row],[name]]</f>
        <v>Pic de Radiation</v>
      </c>
    </row>
    <row r="31" s="1" customFormat="true" ht="15" hidden="true" customHeight="false" outlineLevel="0" collapsed="false">
      <c r="A31" s="1" t="s">
        <v>698</v>
      </c>
      <c r="B31" s="1" t="s">
        <v>698</v>
      </c>
      <c r="C31" s="1" t="s">
        <v>698</v>
      </c>
      <c r="D31" s="1" t="s">
        <v>699</v>
      </c>
      <c r="E31" s="1" t="s">
        <v>700</v>
      </c>
      <c r="F31" s="1" t="s">
        <v>701</v>
      </c>
      <c r="I31" s="1" t="s">
        <v>624</v>
      </c>
      <c r="J31" s="1" t="s">
        <v>658</v>
      </c>
      <c r="K31" s="5" t="b">
        <f aca="false">FALSE()</f>
        <v>0</v>
      </c>
      <c r="L31" s="5" t="b">
        <f aca="false">FALSE()</f>
        <v>0</v>
      </c>
      <c r="M31" s="5" t="b">
        <f aca="false">TRUE()</f>
        <v>1</v>
      </c>
      <c r="N31" s="1" t="n">
        <f aca="false">LEN(Table1[[#This Row],[effect]])</f>
        <v>148</v>
      </c>
      <c r="O31" s="1" t="str">
        <f aca="false">Table1[[#This Row],[name]]</f>
        <v>Repousser</v>
      </c>
    </row>
    <row r="32" s="1" customFormat="true" ht="15" hidden="true" customHeight="false" outlineLevel="0" collapsed="false">
      <c r="A32" s="1" t="s">
        <v>702</v>
      </c>
      <c r="B32" s="1" t="s">
        <v>702</v>
      </c>
      <c r="C32" s="1" t="s">
        <v>702</v>
      </c>
      <c r="D32" s="1" t="s">
        <v>703</v>
      </c>
      <c r="E32" s="1" t="s">
        <v>704</v>
      </c>
      <c r="F32" s="1" t="s">
        <v>705</v>
      </c>
      <c r="I32" s="1" t="s">
        <v>568</v>
      </c>
      <c r="J32" s="1" t="s">
        <v>658</v>
      </c>
      <c r="K32" s="5" t="b">
        <f aca="false">TRUE()</f>
        <v>1</v>
      </c>
      <c r="L32" s="5" t="b">
        <f aca="false">FALSE()</f>
        <v>0</v>
      </c>
      <c r="M32" s="5" t="b">
        <f aca="false">FALSE()</f>
        <v>0</v>
      </c>
      <c r="N32" s="1" t="n">
        <f aca="false">LEN(Table1[[#This Row],[effect]])</f>
        <v>152</v>
      </c>
      <c r="O32" s="1" t="str">
        <f aca="false">Table1[[#This Row],[name]]</f>
        <v>Vision à  Distance</v>
      </c>
    </row>
    <row r="33" s="1" customFormat="true" ht="15" hidden="true" customHeight="false" outlineLevel="0" collapsed="false">
      <c r="A33" s="1" t="s">
        <v>706</v>
      </c>
      <c r="B33" s="1" t="s">
        <v>706</v>
      </c>
      <c r="C33" s="1" t="s">
        <v>706</v>
      </c>
      <c r="D33" s="1" t="s">
        <v>707</v>
      </c>
      <c r="E33" s="1" t="s">
        <v>708</v>
      </c>
      <c r="F33" s="1" t="s">
        <v>709</v>
      </c>
      <c r="I33" s="1" t="s">
        <v>710</v>
      </c>
      <c r="J33" s="1" t="s">
        <v>711</v>
      </c>
      <c r="K33" s="5" t="b">
        <f aca="false">TRUE()</f>
        <v>1</v>
      </c>
      <c r="L33" s="5" t="b">
        <f aca="false">TRUE()</f>
        <v>1</v>
      </c>
      <c r="M33" s="5" t="b">
        <f aca="false">FALSE()</f>
        <v>0</v>
      </c>
      <c r="N33" s="1" t="n">
        <f aca="false">LEN(Table1[[#This Row],[effect]])</f>
        <v>154</v>
      </c>
      <c r="O33" s="1" t="str">
        <f aca="false">Table1[[#This Row],[name]]</f>
        <v>Projecteur d'Ecran de Force</v>
      </c>
    </row>
    <row r="34" s="1" customFormat="true" ht="15" hidden="true" customHeight="false" outlineLevel="0" collapsed="false">
      <c r="A34" s="1" t="s">
        <v>712</v>
      </c>
      <c r="B34" s="1" t="s">
        <v>712</v>
      </c>
      <c r="C34" s="1" t="s">
        <v>712</v>
      </c>
      <c r="D34" s="1" t="s">
        <v>713</v>
      </c>
      <c r="E34" s="1" t="s">
        <v>714</v>
      </c>
      <c r="F34" s="1" t="s">
        <v>715</v>
      </c>
      <c r="I34" s="1" t="s">
        <v>710</v>
      </c>
      <c r="J34" s="1" t="s">
        <v>574</v>
      </c>
      <c r="K34" s="5" t="b">
        <f aca="false">TRUE()</f>
        <v>1</v>
      </c>
      <c r="L34" s="5" t="b">
        <f aca="false">FALSE()</f>
        <v>0</v>
      </c>
      <c r="M34" s="5" t="b">
        <f aca="false">FALSE()</f>
        <v>0</v>
      </c>
      <c r="N34" s="1" t="n">
        <f aca="false">LEN(Table1[[#This Row],[effect]])</f>
        <v>155</v>
      </c>
      <c r="O34" s="1" t="str">
        <f aca="false">Table1[[#This Row],[name]]</f>
        <v>Rayon de Nullification</v>
      </c>
    </row>
    <row r="35" s="1" customFormat="true" ht="15" hidden="true" customHeight="false" outlineLevel="0" collapsed="false">
      <c r="A35" s="1" t="s">
        <v>716</v>
      </c>
      <c r="B35" s="1" t="s">
        <v>716</v>
      </c>
      <c r="C35" s="1" t="s">
        <v>716</v>
      </c>
      <c r="D35" s="1" t="s">
        <v>717</v>
      </c>
      <c r="E35" s="1" t="s">
        <v>718</v>
      </c>
      <c r="F35" s="1" t="s">
        <v>719</v>
      </c>
      <c r="I35" s="1" t="s">
        <v>568</v>
      </c>
      <c r="J35" s="1" t="s">
        <v>578</v>
      </c>
      <c r="K35" s="5" t="b">
        <f aca="false">FALSE()</f>
        <v>0</v>
      </c>
      <c r="L35" s="5" t="b">
        <f aca="false">FALSE()</f>
        <v>0</v>
      </c>
      <c r="M35" s="5" t="b">
        <f aca="false">TRUE()</f>
        <v>1</v>
      </c>
      <c r="N35" s="1" t="n">
        <f aca="false">LEN(Table1[[#This Row],[effect]])</f>
        <v>159</v>
      </c>
      <c r="O35" s="1" t="str">
        <f aca="false">Table1[[#This Row],[name]]</f>
        <v>Explosion de Célérité</v>
      </c>
    </row>
    <row r="36" customFormat="false" ht="15" hidden="true" customHeight="false" outlineLevel="0" collapsed="false">
      <c r="A36" s="4" t="s">
        <v>720</v>
      </c>
      <c r="B36" s="4" t="s">
        <v>720</v>
      </c>
      <c r="C36" s="4" t="s">
        <v>720</v>
      </c>
      <c r="D36" s="4" t="s">
        <v>721</v>
      </c>
      <c r="E36" s="4" t="s">
        <v>722</v>
      </c>
      <c r="F36" s="4" t="s">
        <v>723</v>
      </c>
      <c r="I36" s="4" t="s">
        <v>624</v>
      </c>
      <c r="J36" s="4" t="s">
        <v>625</v>
      </c>
      <c r="K36" s="7" t="b">
        <f aca="false">TRUE()</f>
        <v>1</v>
      </c>
      <c r="L36" s="7" t="b">
        <f aca="false">TRUE()</f>
        <v>1</v>
      </c>
      <c r="M36" s="7" t="b">
        <f aca="false">FALSE()</f>
        <v>0</v>
      </c>
      <c r="N36" s="4" t="n">
        <f aca="false">LEN(Table1[[#This Row],[effect]])</f>
        <v>161</v>
      </c>
      <c r="O36" s="4" t="str">
        <f aca="false">Table1[[#This Row],[name]]</f>
        <v>Détonation (Inversion Gravitationnelle)</v>
      </c>
    </row>
    <row r="37" s="1" customFormat="true" ht="15" hidden="true" customHeight="false" outlineLevel="0" collapsed="false">
      <c r="A37" s="1" t="s">
        <v>724</v>
      </c>
      <c r="B37" s="1" t="s">
        <v>724</v>
      </c>
      <c r="C37" s="1" t="s">
        <v>724</v>
      </c>
      <c r="D37" s="1" t="s">
        <v>725</v>
      </c>
      <c r="E37" s="1" t="s">
        <v>726</v>
      </c>
      <c r="F37" s="1" t="s">
        <v>727</v>
      </c>
      <c r="I37" s="1" t="s">
        <v>568</v>
      </c>
      <c r="J37" s="1" t="s">
        <v>631</v>
      </c>
      <c r="K37" s="5" t="b">
        <f aca="false">TRUE()</f>
        <v>1</v>
      </c>
      <c r="L37" s="5" t="b">
        <f aca="false">FALSE()</f>
        <v>0</v>
      </c>
      <c r="M37" s="5" t="b">
        <f aca="false">FALSE()</f>
        <v>0</v>
      </c>
      <c r="N37" s="1" t="n">
        <f aca="false">LEN(Table1[[#This Row],[effect]])</f>
        <v>162</v>
      </c>
      <c r="O37" s="1" t="str">
        <f aca="false">Table1[[#This Row],[name]]</f>
        <v>Inducteur de Sommeil</v>
      </c>
    </row>
    <row r="38" s="1" customFormat="true" ht="15" hidden="true" customHeight="false" outlineLevel="0" collapsed="false">
      <c r="A38" s="1" t="s">
        <v>728</v>
      </c>
      <c r="B38" s="1" t="s">
        <v>728</v>
      </c>
      <c r="C38" s="1" t="s">
        <v>728</v>
      </c>
      <c r="D38" s="1" t="s">
        <v>729</v>
      </c>
      <c r="E38" s="1" t="s">
        <v>730</v>
      </c>
      <c r="F38" s="1" t="s">
        <v>731</v>
      </c>
      <c r="I38" s="1" t="s">
        <v>18</v>
      </c>
      <c r="J38" s="1" t="s">
        <v>631</v>
      </c>
      <c r="K38" s="5" t="b">
        <f aca="false">TRUE()</f>
        <v>1</v>
      </c>
      <c r="L38" s="5" t="b">
        <f aca="false">TRUE()</f>
        <v>1</v>
      </c>
      <c r="M38" s="5" t="b">
        <f aca="false">FALSE()</f>
        <v>0</v>
      </c>
      <c r="N38" s="1" t="n">
        <f aca="false">LEN(Table1[[#This Row],[effect]])</f>
        <v>163</v>
      </c>
      <c r="O38" s="1" t="str">
        <f aca="false">Table1[[#This Row],[name]]</f>
        <v>Trou Sonore</v>
      </c>
    </row>
    <row r="39" s="1" customFormat="true" ht="15" hidden="true" customHeight="false" outlineLevel="0" collapsed="false">
      <c r="A39" s="1" t="s">
        <v>732</v>
      </c>
      <c r="B39" s="1" t="s">
        <v>732</v>
      </c>
      <c r="C39" s="1" t="s">
        <v>732</v>
      </c>
      <c r="D39" s="1" t="s">
        <v>733</v>
      </c>
      <c r="E39" s="1" t="s">
        <v>734</v>
      </c>
      <c r="F39" s="1" t="s">
        <v>735</v>
      </c>
      <c r="G39" s="1" t="s">
        <v>736</v>
      </c>
      <c r="I39" s="1" t="s">
        <v>568</v>
      </c>
      <c r="J39" s="1" t="s">
        <v>711</v>
      </c>
      <c r="K39" s="5" t="b">
        <f aca="false">TRUE()</f>
        <v>1</v>
      </c>
      <c r="L39" s="5" t="b">
        <f aca="false">TRUE()</f>
        <v>1</v>
      </c>
      <c r="M39" s="5" t="b">
        <f aca="false">FALSE()</f>
        <v>0</v>
      </c>
      <c r="N39" s="1" t="n">
        <f aca="false">LEN(Table1[[#This Row],[effect]])</f>
        <v>166</v>
      </c>
      <c r="O39" s="1" t="str">
        <f aca="false">Table1[[#This Row],[name]]</f>
        <v>Champ de Force</v>
      </c>
    </row>
    <row r="40" s="1" customFormat="true" ht="15" hidden="true" customHeight="false" outlineLevel="0" collapsed="false">
      <c r="A40" s="1" t="s">
        <v>737</v>
      </c>
      <c r="B40" s="1" t="s">
        <v>737</v>
      </c>
      <c r="C40" s="1" t="s">
        <v>737</v>
      </c>
      <c r="D40" s="1" t="s">
        <v>738</v>
      </c>
      <c r="E40" s="1" t="s">
        <v>739</v>
      </c>
      <c r="F40" s="1" t="s">
        <v>740</v>
      </c>
      <c r="I40" s="1" t="s">
        <v>604</v>
      </c>
      <c r="J40" s="1" t="s">
        <v>595</v>
      </c>
      <c r="K40" s="5" t="b">
        <f aca="false">TRUE()</f>
        <v>1</v>
      </c>
      <c r="L40" s="5" t="b">
        <f aca="false">FALSE()</f>
        <v>0</v>
      </c>
      <c r="M40" s="5" t="b">
        <f aca="false">FALSE()</f>
        <v>0</v>
      </c>
      <c r="N40" s="1" t="n">
        <f aca="false">LEN(Table1[[#This Row],[effect]])</f>
        <v>167</v>
      </c>
      <c r="O40" s="1" t="str">
        <f aca="false">Table1[[#This Row],[name]]</f>
        <v>Vision aux Rayons X</v>
      </c>
    </row>
    <row r="41" s="1" customFormat="true" ht="15" hidden="true" customHeight="false" outlineLevel="0" collapsed="false">
      <c r="A41" s="1" t="s">
        <v>741</v>
      </c>
      <c r="B41" s="1" t="s">
        <v>741</v>
      </c>
      <c r="C41" s="1" t="s">
        <v>741</v>
      </c>
      <c r="D41" s="1" t="s">
        <v>742</v>
      </c>
      <c r="E41" s="1" t="s">
        <v>743</v>
      </c>
      <c r="F41" s="1" t="s">
        <v>744</v>
      </c>
      <c r="I41" s="1" t="s">
        <v>18</v>
      </c>
      <c r="J41" s="1" t="s">
        <v>631</v>
      </c>
      <c r="K41" s="5" t="b">
        <f aca="false">TRUE()</f>
        <v>1</v>
      </c>
      <c r="L41" s="5" t="b">
        <f aca="false">TRUE()</f>
        <v>1</v>
      </c>
      <c r="M41" s="5" t="b">
        <f aca="false">FALSE()</f>
        <v>0</v>
      </c>
      <c r="N41" s="1" t="n">
        <f aca="false">LEN(Table1[[#This Row],[effect]])</f>
        <v>167</v>
      </c>
      <c r="O41" s="1" t="str">
        <f aca="false">Table1[[#This Row],[name]]</f>
        <v>Atténuateur de Son</v>
      </c>
    </row>
    <row r="42" s="1" customFormat="true" ht="15" hidden="true" customHeight="false" outlineLevel="0" collapsed="false">
      <c r="A42" s="1" t="s">
        <v>745</v>
      </c>
      <c r="B42" s="1" t="s">
        <v>745</v>
      </c>
      <c r="C42" s="1" t="s">
        <v>745</v>
      </c>
      <c r="D42" s="1" t="s">
        <v>746</v>
      </c>
      <c r="E42" s="1" t="s">
        <v>747</v>
      </c>
      <c r="F42" s="1" t="s">
        <v>748</v>
      </c>
      <c r="I42" s="1" t="s">
        <v>18</v>
      </c>
      <c r="J42" s="1" t="s">
        <v>586</v>
      </c>
      <c r="K42" s="5" t="b">
        <f aca="false">TRUE()</f>
        <v>1</v>
      </c>
      <c r="L42" s="5" t="b">
        <f aca="false">TRUE()</f>
        <v>1</v>
      </c>
      <c r="M42" s="5" t="b">
        <f aca="false">FALSE()</f>
        <v>0</v>
      </c>
      <c r="N42" s="1" t="n">
        <f aca="false">LEN(Table1[[#This Row],[effect]])</f>
        <v>183</v>
      </c>
      <c r="O42" s="1" t="str">
        <f aca="false">Table1[[#This Row],[name]]</f>
        <v>Communication Psychique</v>
      </c>
    </row>
    <row r="43" s="1" customFormat="true" ht="15" hidden="true" customHeight="false" outlineLevel="0" collapsed="false">
      <c r="A43" s="1" t="s">
        <v>749</v>
      </c>
      <c r="B43" s="1" t="s">
        <v>749</v>
      </c>
      <c r="C43" s="1" t="s">
        <v>749</v>
      </c>
      <c r="D43" s="1" t="s">
        <v>750</v>
      </c>
      <c r="E43" s="1" t="s">
        <v>751</v>
      </c>
      <c r="F43" s="1" t="s">
        <v>752</v>
      </c>
      <c r="I43" s="1" t="s">
        <v>710</v>
      </c>
      <c r="J43" s="1" t="s">
        <v>711</v>
      </c>
      <c r="K43" s="5" t="b">
        <f aca="false">TRUE()</f>
        <v>1</v>
      </c>
      <c r="L43" s="5" t="b">
        <f aca="false">TRUE()</f>
        <v>1</v>
      </c>
      <c r="M43" s="5" t="b">
        <f aca="false">FALSE()</f>
        <v>0</v>
      </c>
      <c r="N43" s="1" t="n">
        <f aca="false">LEN(Table1[[#This Row],[effect]])</f>
        <v>186</v>
      </c>
      <c r="O43" s="1" t="str">
        <f aca="false">Table1[[#This Row],[name]]</f>
        <v>Projecteur de Bouclier de Force</v>
      </c>
    </row>
    <row r="44" s="1" customFormat="true" ht="15" hidden="true" customHeight="false" outlineLevel="0" collapsed="false">
      <c r="A44" s="1" t="s">
        <v>753</v>
      </c>
      <c r="B44" s="1" t="s">
        <v>753</v>
      </c>
      <c r="C44" s="1" t="s">
        <v>753</v>
      </c>
      <c r="D44" s="1" t="s">
        <v>754</v>
      </c>
      <c r="E44" s="1" t="s">
        <v>755</v>
      </c>
      <c r="F44" s="1" t="s">
        <v>756</v>
      </c>
      <c r="I44" s="1" t="s">
        <v>568</v>
      </c>
      <c r="J44" s="1" t="s">
        <v>757</v>
      </c>
      <c r="K44" s="5" t="b">
        <f aca="false">TRUE()</f>
        <v>1</v>
      </c>
      <c r="L44" s="5" t="b">
        <f aca="false">TRUE()</f>
        <v>1</v>
      </c>
      <c r="M44" s="5" t="b">
        <f aca="false">FALSE()</f>
        <v>0</v>
      </c>
      <c r="N44" s="1" t="n">
        <f aca="false">LEN(Table1[[#This Row],[effect]])</f>
        <v>188</v>
      </c>
      <c r="O44" s="1" t="str">
        <f aca="false">Table1[[#This Row],[name]]</f>
        <v>Attaque de Chaleur</v>
      </c>
    </row>
    <row r="45" customFormat="false" ht="15" hidden="true" customHeight="false" outlineLevel="0" collapsed="false">
      <c r="A45" s="4" t="s">
        <v>758</v>
      </c>
      <c r="B45" s="4" t="s">
        <v>758</v>
      </c>
      <c r="C45" s="4" t="s">
        <v>758</v>
      </c>
      <c r="D45" s="4" t="s">
        <v>759</v>
      </c>
      <c r="E45" s="4" t="s">
        <v>760</v>
      </c>
      <c r="F45" s="4" t="s">
        <v>761</v>
      </c>
      <c r="I45" s="4" t="s">
        <v>18</v>
      </c>
      <c r="J45" s="4" t="s">
        <v>625</v>
      </c>
      <c r="K45" s="7" t="b">
        <f aca="false">TRUE()</f>
        <v>1</v>
      </c>
      <c r="L45" s="7" t="b">
        <f aca="false">FALSE()</f>
        <v>0</v>
      </c>
      <c r="M45" s="7" t="b">
        <f aca="false">FALSE()</f>
        <v>0</v>
      </c>
      <c r="N45" s="4" t="n">
        <f aca="false">LEN(Table1[[#This Row],[effect]])</f>
        <v>188</v>
      </c>
      <c r="O45" s="4" t="str">
        <f aca="false">Table1[[#This Row],[name]]</f>
        <v>Détonation (Sonique)</v>
      </c>
    </row>
    <row r="46" s="1" customFormat="true" ht="15" hidden="true" customHeight="false" outlineLevel="0" collapsed="false">
      <c r="A46" s="1" t="s">
        <v>762</v>
      </c>
      <c r="B46" s="1" t="s">
        <v>762</v>
      </c>
      <c r="C46" s="1" t="s">
        <v>762</v>
      </c>
      <c r="D46" s="1" t="s">
        <v>763</v>
      </c>
      <c r="E46" s="1" t="s">
        <v>764</v>
      </c>
      <c r="F46" s="1" t="s">
        <v>765</v>
      </c>
      <c r="I46" s="1" t="s">
        <v>604</v>
      </c>
      <c r="J46" s="1" t="s">
        <v>569</v>
      </c>
      <c r="K46" s="5" t="b">
        <f aca="false">TRUE()</f>
        <v>1</v>
      </c>
      <c r="L46" s="5" t="b">
        <f aca="false">TRUE()</f>
        <v>1</v>
      </c>
      <c r="M46" s="5" t="b">
        <f aca="false">FALSE()</f>
        <v>0</v>
      </c>
      <c r="N46" s="1" t="n">
        <f aca="false">LEN(Table1[[#This Row],[effect]])</f>
        <v>194</v>
      </c>
      <c r="O46" s="1" t="str">
        <f aca="false">Table1[[#This Row],[name]]</f>
        <v>Téléporteur (Planétaire)</v>
      </c>
    </row>
    <row r="47" s="1" customFormat="true" ht="15" hidden="true" customHeight="false" outlineLevel="0" collapsed="false">
      <c r="A47" s="1" t="s">
        <v>766</v>
      </c>
      <c r="B47" s="1" t="s">
        <v>766</v>
      </c>
      <c r="C47" s="1" t="s">
        <v>766</v>
      </c>
      <c r="D47" s="1" t="s">
        <v>767</v>
      </c>
      <c r="E47" s="1" t="s">
        <v>768</v>
      </c>
      <c r="F47" s="1" t="s">
        <v>769</v>
      </c>
      <c r="I47" s="1" t="s">
        <v>604</v>
      </c>
      <c r="J47" s="1" t="s">
        <v>569</v>
      </c>
      <c r="K47" s="5" t="b">
        <f aca="false">TRUE()</f>
        <v>1</v>
      </c>
      <c r="L47" s="5" t="b">
        <f aca="false">TRUE()</f>
        <v>1</v>
      </c>
      <c r="M47" s="5" t="b">
        <f aca="false">FALSE()</f>
        <v>0</v>
      </c>
      <c r="N47" s="1" t="n">
        <f aca="false">LEN(Table1[[#This Row],[effect]])</f>
        <v>195</v>
      </c>
      <c r="O47" s="1" t="str">
        <f aca="false">Table1[[#This Row],[name]]</f>
        <v>Téléporteur (Interstellaire)</v>
      </c>
    </row>
    <row r="48" s="1" customFormat="true" ht="1706.7" hidden="true" customHeight="false" outlineLevel="0" collapsed="false">
      <c r="A48" s="1" t="s">
        <v>770</v>
      </c>
      <c r="B48" s="1" t="s">
        <v>770</v>
      </c>
      <c r="C48" s="1" t="s">
        <v>770</v>
      </c>
      <c r="D48" s="1" t="s">
        <v>771</v>
      </c>
      <c r="E48" s="1" t="s">
        <v>772</v>
      </c>
      <c r="F48" s="1" t="s">
        <v>773</v>
      </c>
      <c r="G48" s="6" t="s">
        <v>774</v>
      </c>
      <c r="H48" s="6" t="s">
        <v>775</v>
      </c>
      <c r="I48" s="1" t="s">
        <v>18</v>
      </c>
      <c r="J48" s="1" t="s">
        <v>776</v>
      </c>
      <c r="K48" s="5" t="b">
        <f aca="false">TRUE()</f>
        <v>1</v>
      </c>
      <c r="L48" s="5" t="b">
        <f aca="false">TRUE()</f>
        <v>1</v>
      </c>
      <c r="M48" s="5" t="b">
        <f aca="false">FALSE()</f>
        <v>0</v>
      </c>
      <c r="N48" s="1" t="n">
        <f aca="false">LEN(Table1[[#This Row],[effect]])</f>
        <v>195</v>
      </c>
      <c r="O48" s="1" t="str">
        <f aca="false">Table1[[#This Row],[name]]</f>
        <v>Emetteur de Rayon</v>
      </c>
    </row>
    <row r="49" customFormat="false" ht="15" hidden="true" customHeight="false" outlineLevel="0" collapsed="false">
      <c r="A49" s="4" t="s">
        <v>777</v>
      </c>
      <c r="B49" s="4" t="s">
        <v>777</v>
      </c>
      <c r="C49" s="4" t="s">
        <v>777</v>
      </c>
      <c r="D49" s="4" t="s">
        <v>778</v>
      </c>
      <c r="E49" s="4" t="s">
        <v>779</v>
      </c>
      <c r="F49" s="4" t="s">
        <v>780</v>
      </c>
      <c r="G49" s="4" t="s">
        <v>781</v>
      </c>
      <c r="H49" s="4" t="s">
        <v>782</v>
      </c>
      <c r="I49" s="4" t="s">
        <v>18</v>
      </c>
      <c r="J49" s="4" t="s">
        <v>609</v>
      </c>
      <c r="K49" s="7" t="b">
        <f aca="false">TRUE()</f>
        <v>1</v>
      </c>
      <c r="L49" s="7" t="b">
        <f aca="false">FALSE()</f>
        <v>0</v>
      </c>
      <c r="M49" s="7" t="b">
        <f aca="false">FALSE()</f>
        <v>0</v>
      </c>
      <c r="N49" s="4" t="n">
        <f aca="false">LEN(Table1[[#This Row],[effect]])</f>
        <v>195</v>
      </c>
      <c r="O49" s="4" t="str">
        <f aca="false">Table1[[#This Row],[name]]</f>
        <v>Détonation</v>
      </c>
    </row>
    <row r="50" s="1" customFormat="true" ht="15" hidden="true" customHeight="false" outlineLevel="0" collapsed="false">
      <c r="A50" s="1" t="s">
        <v>783</v>
      </c>
      <c r="B50" s="1" t="s">
        <v>783</v>
      </c>
      <c r="C50" s="1" t="s">
        <v>783</v>
      </c>
      <c r="D50" s="1" t="s">
        <v>784</v>
      </c>
      <c r="E50" s="1" t="s">
        <v>785</v>
      </c>
      <c r="F50" s="1" t="s">
        <v>786</v>
      </c>
      <c r="I50" s="1" t="s">
        <v>18</v>
      </c>
      <c r="J50" s="1" t="s">
        <v>569</v>
      </c>
      <c r="K50" s="5" t="b">
        <f aca="false">TRUE()</f>
        <v>1</v>
      </c>
      <c r="L50" s="5" t="b">
        <f aca="false">TRUE()</f>
        <v>1</v>
      </c>
      <c r="M50" s="5" t="b">
        <f aca="false">FALSE()</f>
        <v>0</v>
      </c>
      <c r="N50" s="1" t="n">
        <f aca="false">LEN(Table1[[#This Row],[effect]])</f>
        <v>198</v>
      </c>
      <c r="O50" s="1" t="str">
        <f aca="false">Table1[[#This Row],[name]]</f>
        <v>Téléporteur (Sauter)</v>
      </c>
    </row>
    <row r="51" s="1" customFormat="true" ht="15" hidden="true" customHeight="false" outlineLevel="0" collapsed="false">
      <c r="A51" s="1" t="s">
        <v>787</v>
      </c>
      <c r="B51" s="1" t="s">
        <v>787</v>
      </c>
      <c r="C51" s="1" t="s">
        <v>787</v>
      </c>
      <c r="D51" s="1" t="s">
        <v>788</v>
      </c>
      <c r="E51" s="1" t="s">
        <v>789</v>
      </c>
      <c r="F51" s="1" t="s">
        <v>790</v>
      </c>
      <c r="I51" s="1" t="s">
        <v>18</v>
      </c>
      <c r="J51" s="1" t="s">
        <v>586</v>
      </c>
      <c r="K51" s="5" t="b">
        <f aca="false">TRUE()</f>
        <v>1</v>
      </c>
      <c r="L51" s="5" t="b">
        <f aca="false">TRUE()</f>
        <v>1</v>
      </c>
      <c r="M51" s="5" t="b">
        <f aca="false">FALSE()</f>
        <v>0</v>
      </c>
      <c r="N51" s="1" t="n">
        <f aca="false">LEN(Table1[[#This Row],[effect]])</f>
        <v>200</v>
      </c>
      <c r="O51" s="1" t="str">
        <f aca="false">Table1[[#This Row],[name]]</f>
        <v>EmetteurEmetteur de Rayon (Peur) de Rayon (Peur)</v>
      </c>
    </row>
    <row r="52" customFormat="false" ht="15" hidden="true" customHeight="false" outlineLevel="0" collapsed="false">
      <c r="A52" s="4" t="s">
        <v>791</v>
      </c>
      <c r="B52" s="4" t="s">
        <v>791</v>
      </c>
      <c r="C52" s="4" t="s">
        <v>791</v>
      </c>
      <c r="D52" s="4" t="s">
        <v>792</v>
      </c>
      <c r="E52" s="4" t="s">
        <v>793</v>
      </c>
      <c r="F52" s="4" t="s">
        <v>794</v>
      </c>
      <c r="H52" s="4" t="s">
        <v>782</v>
      </c>
      <c r="I52" s="4" t="s">
        <v>18</v>
      </c>
      <c r="J52" s="4" t="s">
        <v>625</v>
      </c>
      <c r="K52" s="7" t="b">
        <f aca="false">TRUE()</f>
        <v>1</v>
      </c>
      <c r="L52" s="7" t="b">
        <f aca="false">FALSE()</f>
        <v>0</v>
      </c>
      <c r="M52" s="7" t="b">
        <f aca="false">FALSE()</f>
        <v>0</v>
      </c>
      <c r="N52" s="4" t="n">
        <f aca="false">LEN(Table1[[#This Row],[effect]])</f>
        <v>203</v>
      </c>
      <c r="O52" s="4" t="str">
        <f aca="false">Table1[[#This Row],[name]]</f>
        <v>Détonation (Massive)</v>
      </c>
    </row>
    <row r="53" customFormat="false" ht="15" hidden="true" customHeight="false" outlineLevel="0" collapsed="false">
      <c r="A53" s="4" t="s">
        <v>795</v>
      </c>
      <c r="B53" s="4" t="s">
        <v>795</v>
      </c>
      <c r="C53" s="4" t="s">
        <v>795</v>
      </c>
      <c r="D53" s="4" t="s">
        <v>796</v>
      </c>
      <c r="E53" s="4" t="s">
        <v>797</v>
      </c>
      <c r="F53" s="4" t="s">
        <v>798</v>
      </c>
      <c r="I53" s="4" t="s">
        <v>18</v>
      </c>
      <c r="J53" s="4" t="s">
        <v>609</v>
      </c>
      <c r="K53" s="7" t="b">
        <f aca="false">TRUE()</f>
        <v>1</v>
      </c>
      <c r="L53" s="7" t="b">
        <f aca="false">FALSE()</f>
        <v>0</v>
      </c>
      <c r="M53" s="7" t="b">
        <f aca="false">FALSE()</f>
        <v>0</v>
      </c>
      <c r="N53" s="4" t="n">
        <f aca="false">LEN(Table1[[#This Row],[effect]])</f>
        <v>203</v>
      </c>
      <c r="O53" s="4" t="str">
        <f aca="false">Table1[[#This Row],[name]]</f>
        <v>Détonation (Flash)</v>
      </c>
    </row>
    <row r="54" s="1" customFormat="true" ht="15" hidden="true" customHeight="false" outlineLevel="0" collapsed="false">
      <c r="A54" s="1" t="s">
        <v>799</v>
      </c>
      <c r="B54" s="1" t="s">
        <v>799</v>
      </c>
      <c r="C54" s="1" t="s">
        <v>799</v>
      </c>
      <c r="D54" s="1" t="s">
        <v>800</v>
      </c>
      <c r="E54" s="1" t="s">
        <v>801</v>
      </c>
      <c r="F54" s="1" t="s">
        <v>802</v>
      </c>
      <c r="I54" s="1" t="s">
        <v>18</v>
      </c>
      <c r="J54" s="1" t="s">
        <v>586</v>
      </c>
      <c r="K54" s="5" t="b">
        <f aca="false">TRUE()</f>
        <v>1</v>
      </c>
      <c r="L54" s="5" t="b">
        <f aca="false">TRUE()</f>
        <v>1</v>
      </c>
      <c r="M54" s="5" t="b">
        <f aca="false">FALSE()</f>
        <v>0</v>
      </c>
      <c r="N54" s="1" t="n">
        <f aca="false">LEN(Table1[[#This Row],[effect]])</f>
        <v>205</v>
      </c>
      <c r="O54" s="1" t="str">
        <f aca="false">Table1[[#This Row],[name]]</f>
        <v>Emetteur de Rayon (Tuer un Ami)</v>
      </c>
    </row>
    <row r="55" s="1" customFormat="true" ht="15" hidden="true" customHeight="false" outlineLevel="0" collapsed="false">
      <c r="A55" s="1" t="s">
        <v>803</v>
      </c>
      <c r="B55" s="1" t="s">
        <v>803</v>
      </c>
      <c r="C55" s="1" t="s">
        <v>803</v>
      </c>
      <c r="D55" s="1" t="s">
        <v>804</v>
      </c>
      <c r="E55" s="1" t="s">
        <v>805</v>
      </c>
      <c r="F55" s="1" t="s">
        <v>806</v>
      </c>
      <c r="I55" s="1" t="s">
        <v>18</v>
      </c>
      <c r="J55" s="1" t="s">
        <v>586</v>
      </c>
      <c r="K55" s="5" t="b">
        <f aca="false">TRUE()</f>
        <v>1</v>
      </c>
      <c r="L55" s="5" t="b">
        <f aca="false">TRUE()</f>
        <v>1</v>
      </c>
      <c r="M55" s="5" t="b">
        <f aca="false">FALSE()</f>
        <v>0</v>
      </c>
      <c r="N55" s="1" t="n">
        <f aca="false">LEN(Table1[[#This Row],[effect]])</f>
        <v>209</v>
      </c>
      <c r="O55" s="1" t="str">
        <f aca="false">Table1[[#This Row],[name]]</f>
        <v>Emetteur de Rayon (Paralysie)</v>
      </c>
    </row>
    <row r="56" s="1" customFormat="true" ht="15" hidden="true" customHeight="false" outlineLevel="0" collapsed="false">
      <c r="A56" s="1" t="s">
        <v>807</v>
      </c>
      <c r="B56" s="1" t="s">
        <v>807</v>
      </c>
      <c r="C56" s="1" t="s">
        <v>807</v>
      </c>
      <c r="D56" s="1" t="s">
        <v>808</v>
      </c>
      <c r="E56" s="1" t="s">
        <v>809</v>
      </c>
      <c r="F56" s="1" t="s">
        <v>810</v>
      </c>
      <c r="I56" s="1" t="s">
        <v>604</v>
      </c>
      <c r="J56" s="1" t="s">
        <v>569</v>
      </c>
      <c r="K56" s="5" t="b">
        <f aca="false">TRUE()</f>
        <v>1</v>
      </c>
      <c r="L56" s="5" t="b">
        <f aca="false">TRUE()</f>
        <v>1</v>
      </c>
      <c r="M56" s="5" t="b">
        <f aca="false">FALSE()</f>
        <v>0</v>
      </c>
      <c r="N56" s="1" t="n">
        <f aca="false">LEN(Table1[[#This Row],[effect]])</f>
        <v>209</v>
      </c>
      <c r="O56" s="1" t="str">
        <f aca="false">Table1[[#This Row],[name]]</f>
        <v>Téléporteur (Voyageur)</v>
      </c>
    </row>
    <row r="57" s="1" customFormat="true" ht="15" hidden="true" customHeight="false" outlineLevel="0" collapsed="false">
      <c r="A57" s="1" t="s">
        <v>811</v>
      </c>
      <c r="B57" s="1" t="s">
        <v>811</v>
      </c>
      <c r="C57" s="1" t="s">
        <v>811</v>
      </c>
      <c r="D57" s="1" t="s">
        <v>812</v>
      </c>
      <c r="E57" s="1" t="s">
        <v>813</v>
      </c>
      <c r="F57" s="1" t="s">
        <v>814</v>
      </c>
      <c r="I57" s="1" t="s">
        <v>568</v>
      </c>
      <c r="J57" s="1" t="s">
        <v>609</v>
      </c>
      <c r="K57" s="5" t="b">
        <f aca="false">TRUE()</f>
        <v>1</v>
      </c>
      <c r="L57" s="5" t="b">
        <f aca="false">FALSE()</f>
        <v>0</v>
      </c>
      <c r="M57" s="5" t="b">
        <f aca="false">TRUE()</f>
        <v>1</v>
      </c>
      <c r="N57" s="1" t="n">
        <f aca="false">LEN(Table1[[#This Row],[effect]])</f>
        <v>209</v>
      </c>
      <c r="O57" s="1" t="str">
        <f aca="false">Table1[[#This Row],[name]]</f>
        <v>Vision Nocturne</v>
      </c>
    </row>
    <row r="58" customFormat="false" ht="15" hidden="true" customHeight="false" outlineLevel="0" collapsed="false">
      <c r="A58" s="4" t="s">
        <v>815</v>
      </c>
      <c r="B58" s="4" t="s">
        <v>815</v>
      </c>
      <c r="C58" s="4" t="s">
        <v>815</v>
      </c>
      <c r="D58" s="4" t="s">
        <v>816</v>
      </c>
      <c r="E58" s="4" t="s">
        <v>817</v>
      </c>
      <c r="F58" s="4" t="s">
        <v>818</v>
      </c>
      <c r="I58" s="4" t="s">
        <v>604</v>
      </c>
      <c r="J58" s="4" t="s">
        <v>625</v>
      </c>
      <c r="K58" s="7" t="b">
        <f aca="false">TRUE()</f>
        <v>1</v>
      </c>
      <c r="L58" s="7" t="b">
        <f aca="false">TRUE()</f>
        <v>1</v>
      </c>
      <c r="M58" s="7" t="b">
        <f aca="false">FALSE()</f>
        <v>0</v>
      </c>
      <c r="N58" s="4" t="n">
        <f aca="false">LEN(Table1[[#This Row],[effect]])</f>
        <v>212</v>
      </c>
      <c r="O58" s="4" t="str">
        <f aca="false">Table1[[#This Row],[name]]</f>
        <v>Détonation (Perturbation de la Matière)</v>
      </c>
    </row>
    <row r="59" s="1" customFormat="true" ht="15" hidden="true" customHeight="false" outlineLevel="0" collapsed="false">
      <c r="A59" s="1" t="s">
        <v>819</v>
      </c>
      <c r="B59" s="1" t="s">
        <v>819</v>
      </c>
      <c r="C59" s="1" t="s">
        <v>819</v>
      </c>
      <c r="D59" s="1" t="s">
        <v>820</v>
      </c>
      <c r="E59" s="1" t="s">
        <v>821</v>
      </c>
      <c r="F59" s="1" t="s">
        <v>822</v>
      </c>
      <c r="I59" s="1" t="s">
        <v>18</v>
      </c>
      <c r="J59" s="1" t="s">
        <v>599</v>
      </c>
      <c r="K59" s="5" t="b">
        <f aca="false">TRUE()</f>
        <v>1</v>
      </c>
      <c r="L59" s="5" t="b">
        <f aca="false">FALSE()</f>
        <v>0</v>
      </c>
      <c r="M59" s="5" t="b">
        <f aca="false">FALSE()</f>
        <v>0</v>
      </c>
      <c r="N59" s="1" t="n">
        <f aca="false">LEN(Table1[[#This Row],[effect]])</f>
        <v>214</v>
      </c>
      <c r="O59" s="1" t="str">
        <f aca="false">Table1[[#This Row],[name]]</f>
        <v>Antivenin</v>
      </c>
    </row>
    <row r="60" s="1" customFormat="true" ht="3276.75" hidden="true" customHeight="false" outlineLevel="0" collapsed="false">
      <c r="A60" s="1" t="s">
        <v>823</v>
      </c>
      <c r="B60" s="1" t="s">
        <v>823</v>
      </c>
      <c r="C60" s="1" t="s">
        <v>823</v>
      </c>
      <c r="D60" s="1" t="s">
        <v>824</v>
      </c>
      <c r="E60" s="1" t="s">
        <v>825</v>
      </c>
      <c r="F60" s="1" t="s">
        <v>826</v>
      </c>
      <c r="H60" s="6" t="s">
        <v>827</v>
      </c>
      <c r="I60" s="1" t="s">
        <v>18</v>
      </c>
      <c r="J60" s="1" t="s">
        <v>711</v>
      </c>
      <c r="K60" s="5" t="b">
        <f aca="false">TRUE()</f>
        <v>1</v>
      </c>
      <c r="L60" s="5" t="b">
        <f aca="false">FALSE()</f>
        <v>0</v>
      </c>
      <c r="M60" s="5" t="b">
        <f aca="false">FALSE()</f>
        <v>0</v>
      </c>
      <c r="N60" s="1" t="n">
        <f aca="false">LEN(Table1[[#This Row],[effect]])</f>
        <v>215</v>
      </c>
      <c r="O60" s="1" t="str">
        <f aca="false">Table1[[#This Row],[name]]</f>
        <v>Bombe à  Gaz</v>
      </c>
    </row>
    <row r="61" s="1" customFormat="true" ht="15" hidden="true" customHeight="false" outlineLevel="0" collapsed="false">
      <c r="A61" s="1" t="s">
        <v>828</v>
      </c>
      <c r="B61" s="1" t="s">
        <v>828</v>
      </c>
      <c r="C61" s="1" t="s">
        <v>828</v>
      </c>
      <c r="D61" s="1" t="s">
        <v>829</v>
      </c>
      <c r="E61" s="1" t="s">
        <v>830</v>
      </c>
      <c r="F61" s="1" t="s">
        <v>831</v>
      </c>
      <c r="I61" s="1" t="s">
        <v>568</v>
      </c>
      <c r="J61" s="1" t="s">
        <v>711</v>
      </c>
      <c r="K61" s="5" t="b">
        <f aca="false">TRUE()</f>
        <v>1</v>
      </c>
      <c r="L61" s="5" t="b">
        <f aca="false">FALSE()</f>
        <v>0</v>
      </c>
      <c r="M61" s="5" t="b">
        <f aca="false">FALSE()</f>
        <v>0</v>
      </c>
      <c r="N61" s="1" t="n">
        <f aca="false">LEN(Table1[[#This Row],[effect]])</f>
        <v>222</v>
      </c>
      <c r="O61" s="1" t="str">
        <f aca="false">Table1[[#This Row],[name]]</f>
        <v>Réducteur de Friction</v>
      </c>
    </row>
    <row r="62" s="1" customFormat="true" ht="3276.75" hidden="true" customHeight="false" outlineLevel="0" collapsed="false">
      <c r="A62" s="1" t="s">
        <v>832</v>
      </c>
      <c r="B62" s="1" t="s">
        <v>832</v>
      </c>
      <c r="C62" s="1" t="s">
        <v>832</v>
      </c>
      <c r="D62" s="1" t="s">
        <v>833</v>
      </c>
      <c r="E62" s="1" t="s">
        <v>834</v>
      </c>
      <c r="F62" s="1" t="s">
        <v>835</v>
      </c>
      <c r="H62" s="6" t="s">
        <v>836</v>
      </c>
      <c r="I62" s="1" t="s">
        <v>710</v>
      </c>
      <c r="J62" s="1" t="s">
        <v>578</v>
      </c>
      <c r="K62" s="5" t="b">
        <f aca="false">FALSE()</f>
        <v>0</v>
      </c>
      <c r="L62" s="5" t="b">
        <f aca="false">TRUE()</f>
        <v>1</v>
      </c>
      <c r="M62" s="5" t="b">
        <f aca="false">FALSE()</f>
        <v>0</v>
      </c>
      <c r="N62" s="1" t="n">
        <f aca="false">LEN(Table1[[#This Row],[effect]])</f>
        <v>223</v>
      </c>
      <c r="O62" s="1" t="str">
        <f aca="false">Table1[[#This Row],[name]]</f>
        <v>Eliminateur de Conditions</v>
      </c>
    </row>
    <row r="63" s="1" customFormat="true" ht="3276.75" hidden="true" customHeight="false" outlineLevel="0" collapsed="false">
      <c r="A63" s="1" t="s">
        <v>837</v>
      </c>
      <c r="B63" s="1" t="s">
        <v>837</v>
      </c>
      <c r="C63" s="1" t="s">
        <v>837</v>
      </c>
      <c r="D63" s="1" t="s">
        <v>838</v>
      </c>
      <c r="E63" s="1" t="s">
        <v>839</v>
      </c>
      <c r="F63" s="1" t="s">
        <v>840</v>
      </c>
      <c r="H63" s="6" t="s">
        <v>841</v>
      </c>
      <c r="I63" s="1" t="s">
        <v>568</v>
      </c>
      <c r="J63" s="1" t="s">
        <v>578</v>
      </c>
      <c r="K63" s="5" t="b">
        <f aca="false">TRUE()</f>
        <v>1</v>
      </c>
      <c r="L63" s="5" t="b">
        <f aca="false">TRUE()</f>
        <v>1</v>
      </c>
      <c r="M63" s="5" t="b">
        <f aca="false">FALSE()</f>
        <v>0</v>
      </c>
      <c r="N63" s="1" t="n">
        <f aca="false">LEN(Table1[[#This Row],[effect]])</f>
        <v>224</v>
      </c>
      <c r="O63" s="1" t="str">
        <f aca="false">Table1[[#This Row],[name]]</f>
        <v>Usine Chimique</v>
      </c>
    </row>
    <row r="64" s="1" customFormat="true" ht="2149.25" hidden="true" customHeight="false" outlineLevel="0" collapsed="false">
      <c r="A64" s="1" t="s">
        <v>842</v>
      </c>
      <c r="B64" s="1" t="s">
        <v>842</v>
      </c>
      <c r="C64" s="1" t="s">
        <v>842</v>
      </c>
      <c r="D64" s="1" t="s">
        <v>843</v>
      </c>
      <c r="E64" s="1" t="s">
        <v>844</v>
      </c>
      <c r="F64" s="1" t="s">
        <v>845</v>
      </c>
      <c r="H64" s="6" t="s">
        <v>846</v>
      </c>
      <c r="I64" s="1" t="s">
        <v>710</v>
      </c>
      <c r="J64" s="1" t="s">
        <v>574</v>
      </c>
      <c r="K64" s="5" t="b">
        <f aca="false">TRUE()</f>
        <v>1</v>
      </c>
      <c r="L64" s="5" t="b">
        <f aca="false">TRUE()</f>
        <v>1</v>
      </c>
      <c r="M64" s="5" t="b">
        <f aca="false">FALSE()</f>
        <v>0</v>
      </c>
      <c r="N64" s="1" t="n">
        <f aca="false">LEN(Table1[[#This Row],[effect]])</f>
        <v>228</v>
      </c>
      <c r="O64" s="1" t="str">
        <f aca="false">Table1[[#This Row],[name]]</f>
        <v>Champ Nul</v>
      </c>
    </row>
    <row r="65" s="1" customFormat="true" ht="15" hidden="true" customHeight="false" outlineLevel="0" collapsed="false">
      <c r="A65" s="1" t="s">
        <v>847</v>
      </c>
      <c r="B65" s="1" t="s">
        <v>847</v>
      </c>
      <c r="C65" s="1" t="s">
        <v>847</v>
      </c>
      <c r="D65" s="1" t="s">
        <v>848</v>
      </c>
      <c r="E65" s="1" t="s">
        <v>849</v>
      </c>
      <c r="F65" s="1" t="s">
        <v>850</v>
      </c>
      <c r="I65" s="1" t="s">
        <v>18</v>
      </c>
      <c r="J65" s="1" t="s">
        <v>590</v>
      </c>
      <c r="K65" s="5" t="b">
        <f aca="false">TRUE()</f>
        <v>1</v>
      </c>
      <c r="L65" s="5" t="b">
        <f aca="false">TRUE()</f>
        <v>1</v>
      </c>
      <c r="M65" s="5" t="b">
        <f aca="false">FALSE()</f>
        <v>0</v>
      </c>
      <c r="N65" s="1" t="n">
        <f aca="false">LEN(Table1[[#This Row],[effect]])</f>
        <v>229</v>
      </c>
      <c r="O65" s="1" t="str">
        <f aca="false">Table1[[#This Row],[name]]</f>
        <v>Bouclier Magnétique</v>
      </c>
    </row>
    <row r="66" s="1" customFormat="true" ht="15" hidden="true" customHeight="false" outlineLevel="0" collapsed="false">
      <c r="A66" s="1" t="s">
        <v>851</v>
      </c>
      <c r="B66" s="1" t="s">
        <v>851</v>
      </c>
      <c r="C66" s="1" t="s">
        <v>851</v>
      </c>
      <c r="D66" s="1" t="s">
        <v>852</v>
      </c>
      <c r="E66" s="1" t="s">
        <v>853</v>
      </c>
      <c r="F66" s="1" t="s">
        <v>854</v>
      </c>
      <c r="I66" s="1" t="s">
        <v>568</v>
      </c>
      <c r="J66" s="1" t="s">
        <v>605</v>
      </c>
      <c r="K66" s="5" t="b">
        <f aca="false">TRUE()</f>
        <v>1</v>
      </c>
      <c r="L66" s="5" t="b">
        <f aca="false">TRUE()</f>
        <v>1</v>
      </c>
      <c r="M66" s="5" t="b">
        <f aca="false">FALSE()</f>
        <v>0</v>
      </c>
      <c r="N66" s="1" t="n">
        <f aca="false">LEN(Table1[[#This Row],[effect]])</f>
        <v>233</v>
      </c>
      <c r="O66" s="1" t="str">
        <f aca="false">Table1[[#This Row],[name]]</f>
        <v>Mur Ignifuge</v>
      </c>
    </row>
    <row r="67" s="1" customFormat="true" ht="15" hidden="true" customHeight="false" outlineLevel="0" collapsed="false">
      <c r="A67" s="1" t="s">
        <v>855</v>
      </c>
      <c r="B67" s="1" t="s">
        <v>855</v>
      </c>
      <c r="C67" s="1" t="s">
        <v>855</v>
      </c>
      <c r="D67" s="1" t="s">
        <v>856</v>
      </c>
      <c r="E67" s="1" t="s">
        <v>857</v>
      </c>
      <c r="F67" s="1" t="s">
        <v>858</v>
      </c>
      <c r="I67" s="1" t="s">
        <v>568</v>
      </c>
      <c r="J67" s="1" t="s">
        <v>609</v>
      </c>
      <c r="K67" s="5" t="b">
        <f aca="false">TRUE()</f>
        <v>1</v>
      </c>
      <c r="L67" s="5" t="b">
        <f aca="false">FALSE()</f>
        <v>0</v>
      </c>
      <c r="M67" s="5" t="b">
        <f aca="false">FALSE()</f>
        <v>0</v>
      </c>
      <c r="N67" s="1" t="n">
        <f aca="false">LEN(Table1[[#This Row],[effect]])</f>
        <v>234</v>
      </c>
      <c r="O67" s="1" t="str">
        <f aca="false">Table1[[#This Row],[name]]</f>
        <v>Densité</v>
      </c>
    </row>
    <row r="68" s="1" customFormat="true" ht="15" hidden="true" customHeight="false" outlineLevel="0" collapsed="false">
      <c r="A68" s="1" t="s">
        <v>859</v>
      </c>
      <c r="B68" s="1" t="s">
        <v>859</v>
      </c>
      <c r="C68" s="1" t="s">
        <v>859</v>
      </c>
      <c r="D68" s="1" t="s">
        <v>860</v>
      </c>
      <c r="E68" s="1" t="s">
        <v>861</v>
      </c>
      <c r="F68" s="1" t="s">
        <v>862</v>
      </c>
      <c r="I68" s="1" t="s">
        <v>568</v>
      </c>
      <c r="J68" s="1" t="s">
        <v>685</v>
      </c>
      <c r="K68" s="5" t="b">
        <f aca="false">TRUE()</f>
        <v>1</v>
      </c>
      <c r="L68" s="5" t="b">
        <f aca="false">TRUE()</f>
        <v>1</v>
      </c>
      <c r="M68" s="5" t="b">
        <f aca="false">FALSE()</f>
        <v>0</v>
      </c>
      <c r="N68" s="1" t="n">
        <f aca="false">LEN(Table1[[#This Row],[effect]])</f>
        <v>235</v>
      </c>
      <c r="O68" s="1" t="str">
        <f aca="false">Table1[[#This Row],[name]]</f>
        <v>Dispositif de Déplacement Visuel</v>
      </c>
    </row>
    <row r="69" s="1" customFormat="true" ht="15" hidden="true" customHeight="false" outlineLevel="0" collapsed="false">
      <c r="A69" s="1" t="s">
        <v>863</v>
      </c>
      <c r="B69" s="1" t="s">
        <v>863</v>
      </c>
      <c r="C69" s="1" t="s">
        <v>863</v>
      </c>
      <c r="D69" s="1" t="s">
        <v>864</v>
      </c>
      <c r="E69" s="1" t="s">
        <v>865</v>
      </c>
      <c r="F69" s="1" t="s">
        <v>866</v>
      </c>
      <c r="I69" s="1" t="s">
        <v>624</v>
      </c>
      <c r="J69" s="1" t="s">
        <v>574</v>
      </c>
      <c r="K69" s="5" t="b">
        <f aca="false">TRUE()</f>
        <v>1</v>
      </c>
      <c r="L69" s="5" t="b">
        <f aca="false">TRUE()</f>
        <v>1</v>
      </c>
      <c r="M69" s="5" t="b">
        <f aca="false">FALSE()</f>
        <v>0</v>
      </c>
      <c r="N69" s="1" t="n">
        <f aca="false">LEN(Table1[[#This Row],[effect]])</f>
        <v>236</v>
      </c>
      <c r="O69" s="1" t="str">
        <f aca="false">Table1[[#This Row],[name]]</f>
        <v>Fusion Mentale</v>
      </c>
    </row>
    <row r="70" s="1" customFormat="true" ht="15" hidden="true" customHeight="false" outlineLevel="0" collapsed="false">
      <c r="A70" s="1" t="s">
        <v>867</v>
      </c>
      <c r="B70" s="1" t="s">
        <v>867</v>
      </c>
      <c r="C70" s="1" t="s">
        <v>867</v>
      </c>
      <c r="D70" s="1" t="s">
        <v>868</v>
      </c>
      <c r="E70" s="1" t="s">
        <v>869</v>
      </c>
      <c r="F70" s="1" t="s">
        <v>870</v>
      </c>
      <c r="I70" s="1" t="s">
        <v>710</v>
      </c>
      <c r="J70" s="1" t="s">
        <v>595</v>
      </c>
      <c r="K70" s="5" t="b">
        <f aca="false">TRUE()</f>
        <v>1</v>
      </c>
      <c r="L70" s="5" t="b">
        <f aca="false">TRUE()</f>
        <v>1</v>
      </c>
      <c r="M70" s="5" t="b">
        <f aca="false">FALSE()</f>
        <v>0</v>
      </c>
      <c r="N70" s="1" t="n">
        <f aca="false">LEN(Table1[[#This Row],[effect]])</f>
        <v>237</v>
      </c>
      <c r="O70" s="1" t="str">
        <f aca="false">Table1[[#This Row],[name]]</f>
        <v>Champ de Point Zéro</v>
      </c>
    </row>
    <row r="71" s="1" customFormat="true" ht="15" hidden="true" customHeight="false" outlineLevel="0" collapsed="false">
      <c r="A71" s="1" t="s">
        <v>871</v>
      </c>
      <c r="B71" s="1" t="s">
        <v>871</v>
      </c>
      <c r="C71" s="1" t="s">
        <v>871</v>
      </c>
      <c r="D71" s="1" t="s">
        <v>872</v>
      </c>
      <c r="E71" s="1" t="s">
        <v>873</v>
      </c>
      <c r="F71" s="1" t="s">
        <v>874</v>
      </c>
      <c r="I71" s="1" t="s">
        <v>568</v>
      </c>
      <c r="J71" s="1" t="s">
        <v>595</v>
      </c>
      <c r="K71" s="5" t="b">
        <f aca="false">TRUE()</f>
        <v>1</v>
      </c>
      <c r="L71" s="5" t="b">
        <f aca="false">FALSE()</f>
        <v>0</v>
      </c>
      <c r="M71" s="5" t="b">
        <f aca="false">FALSE()</f>
        <v>0</v>
      </c>
      <c r="N71" s="1" t="n">
        <f aca="false">LEN(Table1[[#This Row],[effect]])</f>
        <v>238</v>
      </c>
      <c r="O71" s="1" t="str">
        <f aca="false">Table1[[#This Row],[name]]</f>
        <v>Chaleur</v>
      </c>
    </row>
    <row r="72" s="1" customFormat="true" ht="15" hidden="true" customHeight="false" outlineLevel="0" collapsed="false">
      <c r="A72" s="1" t="s">
        <v>875</v>
      </c>
      <c r="B72" s="1" t="s">
        <v>875</v>
      </c>
      <c r="C72" s="1" t="s">
        <v>875</v>
      </c>
      <c r="D72" s="1" t="s">
        <v>876</v>
      </c>
      <c r="E72" s="1" t="s">
        <v>877</v>
      </c>
      <c r="F72" s="1" t="s">
        <v>878</v>
      </c>
      <c r="I72" s="1" t="s">
        <v>624</v>
      </c>
      <c r="J72" s="1" t="s">
        <v>609</v>
      </c>
      <c r="K72" s="5" t="b">
        <f aca="false">TRUE()</f>
        <v>1</v>
      </c>
      <c r="L72" s="5" t="b">
        <f aca="false">FALSE()</f>
        <v>0</v>
      </c>
      <c r="M72" s="5" t="b">
        <f aca="false">FALSE()</f>
        <v>0</v>
      </c>
      <c r="N72" s="1" t="n">
        <f aca="false">LEN(Table1[[#This Row],[effect]])</f>
        <v>239</v>
      </c>
      <c r="O72" s="1" t="str">
        <f aca="false">Table1[[#This Row],[name]]</f>
        <v>Porteur de Malédiction</v>
      </c>
    </row>
    <row r="73" s="1" customFormat="true" ht="15" hidden="true" customHeight="false" outlineLevel="0" collapsed="false">
      <c r="A73" s="1" t="s">
        <v>879</v>
      </c>
      <c r="B73" s="1" t="s">
        <v>879</v>
      </c>
      <c r="C73" s="1" t="s">
        <v>879</v>
      </c>
      <c r="D73" s="1" t="s">
        <v>880</v>
      </c>
      <c r="E73" s="1" t="s">
        <v>881</v>
      </c>
      <c r="F73" s="1" t="s">
        <v>882</v>
      </c>
      <c r="I73" s="1" t="s">
        <v>568</v>
      </c>
      <c r="J73" s="1" t="s">
        <v>586</v>
      </c>
      <c r="K73" s="5" t="b">
        <f aca="false">FALSE()</f>
        <v>0</v>
      </c>
      <c r="L73" s="5" t="b">
        <f aca="false">FALSE()</f>
        <v>0</v>
      </c>
      <c r="M73" s="5" t="b">
        <f aca="false">TRUE()</f>
        <v>1</v>
      </c>
      <c r="N73" s="1" t="n">
        <f aca="false">LEN(Table1[[#This Row],[effect]])</f>
        <v>245</v>
      </c>
      <c r="O73" s="1" t="str">
        <f aca="false">Table1[[#This Row],[name]]</f>
        <v>Amplificateur de Réflexes</v>
      </c>
    </row>
    <row r="74" s="1" customFormat="true" ht="15" hidden="true" customHeight="false" outlineLevel="0" collapsed="false">
      <c r="A74" s="1" t="s">
        <v>883</v>
      </c>
      <c r="B74" s="1" t="s">
        <v>883</v>
      </c>
      <c r="C74" s="1" t="s">
        <v>883</v>
      </c>
      <c r="D74" s="1" t="s">
        <v>884</v>
      </c>
      <c r="E74" s="1" t="s">
        <v>885</v>
      </c>
      <c r="F74" s="1" t="s">
        <v>886</v>
      </c>
      <c r="I74" s="1" t="s">
        <v>18</v>
      </c>
      <c r="J74" s="1" t="s">
        <v>590</v>
      </c>
      <c r="K74" s="5" t="b">
        <f aca="false">TRUE()</f>
        <v>1</v>
      </c>
      <c r="L74" s="5" t="b">
        <f aca="false">TRUE()</f>
        <v>1</v>
      </c>
      <c r="M74" s="5" t="b">
        <f aca="false">FALSE()</f>
        <v>0</v>
      </c>
      <c r="N74" s="1" t="n">
        <f aca="false">LEN(Table1[[#This Row],[effect]])</f>
        <v>245</v>
      </c>
      <c r="O74" s="1" t="str">
        <f aca="false">Table1[[#This Row],[name]]</f>
        <v>Foreuse d'Attaque Magnétique</v>
      </c>
    </row>
    <row r="75" s="1" customFormat="true" ht="15" hidden="true" customHeight="false" outlineLevel="0" collapsed="false">
      <c r="A75" s="1" t="s">
        <v>887</v>
      </c>
      <c r="B75" s="1" t="s">
        <v>887</v>
      </c>
      <c r="C75" s="1" t="s">
        <v>887</v>
      </c>
      <c r="D75" s="1" t="s">
        <v>888</v>
      </c>
      <c r="E75" s="1" t="s">
        <v>889</v>
      </c>
      <c r="F75" s="1" t="s">
        <v>890</v>
      </c>
      <c r="I75" s="1" t="s">
        <v>18</v>
      </c>
      <c r="J75" s="1" t="s">
        <v>711</v>
      </c>
      <c r="K75" s="5" t="b">
        <f aca="false">TRUE()</f>
        <v>1</v>
      </c>
      <c r="L75" s="5" t="b">
        <f aca="false">TRUE()</f>
        <v>1</v>
      </c>
      <c r="M75" s="5" t="b">
        <f aca="false">FALSE()</f>
        <v>0</v>
      </c>
      <c r="N75" s="1" t="n">
        <f aca="false">LEN(Table1[[#This Row],[effect]])</f>
        <v>247</v>
      </c>
      <c r="O75" s="1" t="str">
        <f aca="false">Table1[[#This Row],[name]]</f>
        <v>Mur Frigorifique</v>
      </c>
    </row>
    <row r="76" s="1" customFormat="true" ht="15" hidden="true" customHeight="false" outlineLevel="0" collapsed="false">
      <c r="A76" s="1" t="s">
        <v>891</v>
      </c>
      <c r="B76" s="1" t="s">
        <v>891</v>
      </c>
      <c r="C76" s="1" t="s">
        <v>891</v>
      </c>
      <c r="D76" s="1" t="s">
        <v>892</v>
      </c>
      <c r="E76" s="1" t="s">
        <v>893</v>
      </c>
      <c r="F76" s="1" t="s">
        <v>894</v>
      </c>
      <c r="I76" s="1" t="s">
        <v>18</v>
      </c>
      <c r="J76" s="1" t="s">
        <v>757</v>
      </c>
      <c r="K76" s="5" t="b">
        <f aca="false">TRUE()</f>
        <v>1</v>
      </c>
      <c r="L76" s="5" t="b">
        <f aca="false">TRUE()</f>
        <v>1</v>
      </c>
      <c r="M76" s="5" t="b">
        <f aca="false">FALSE()</f>
        <v>0</v>
      </c>
      <c r="N76" s="1" t="n">
        <f aca="false">LEN(Table1[[#This Row],[effect]])</f>
        <v>249</v>
      </c>
      <c r="O76" s="1" t="str">
        <f aca="false">Table1[[#This Row],[name]]</f>
        <v>Mur Infernal</v>
      </c>
    </row>
    <row r="77" s="1" customFormat="true" ht="15" hidden="true" customHeight="false" outlineLevel="0" collapsed="false">
      <c r="A77" s="1" t="s">
        <v>895</v>
      </c>
      <c r="B77" s="1" t="s">
        <v>895</v>
      </c>
      <c r="C77" s="1" t="s">
        <v>895</v>
      </c>
      <c r="D77" s="1" t="s">
        <v>896</v>
      </c>
      <c r="E77" s="1" t="s">
        <v>897</v>
      </c>
      <c r="F77" s="1" t="s">
        <v>898</v>
      </c>
      <c r="I77" s="1" t="s">
        <v>568</v>
      </c>
      <c r="J77" s="1" t="s">
        <v>605</v>
      </c>
      <c r="K77" s="5" t="b">
        <f aca="false">FALSE()</f>
        <v>0</v>
      </c>
      <c r="L77" s="5" t="b">
        <f aca="false">FALSE()</f>
        <v>0</v>
      </c>
      <c r="M77" s="5" t="b">
        <f aca="false">TRUE()</f>
        <v>1</v>
      </c>
      <c r="N77" s="1" t="n">
        <f aca="false">LEN(Table1[[#This Row],[effect]])</f>
        <v>250</v>
      </c>
      <c r="O77" s="1" t="str">
        <f aca="false">Table1[[#This Row],[name]]</f>
        <v>Oeil d'Aigle</v>
      </c>
    </row>
    <row r="78" s="1" customFormat="true" ht="15" hidden="true" customHeight="false" outlineLevel="0" collapsed="false">
      <c r="A78" s="1" t="s">
        <v>899</v>
      </c>
      <c r="B78" s="1" t="s">
        <v>899</v>
      </c>
      <c r="C78" s="1" t="s">
        <v>899</v>
      </c>
      <c r="D78" s="1" t="s">
        <v>900</v>
      </c>
      <c r="E78" s="1" t="s">
        <v>901</v>
      </c>
      <c r="F78" s="1" t="s">
        <v>902</v>
      </c>
      <c r="I78" s="1" t="s">
        <v>18</v>
      </c>
      <c r="J78" s="1" t="s">
        <v>574</v>
      </c>
      <c r="K78" s="5" t="b">
        <f aca="false">TRUE()</f>
        <v>1</v>
      </c>
      <c r="L78" s="5" t="b">
        <f aca="false">FALSE()</f>
        <v>0</v>
      </c>
      <c r="M78" s="5" t="b">
        <f aca="false">FALSE()</f>
        <v>0</v>
      </c>
      <c r="N78" s="1" t="n">
        <f aca="false">LEN(Table1[[#This Row],[effect]])</f>
        <v>252</v>
      </c>
      <c r="O78" s="1" t="str">
        <f aca="false">Table1[[#This Row],[name]]</f>
        <v>Mort Métallique</v>
      </c>
    </row>
    <row r="79" s="1" customFormat="true" ht="15" hidden="true" customHeight="false" outlineLevel="0" collapsed="false">
      <c r="A79" s="1" t="s">
        <v>903</v>
      </c>
      <c r="B79" s="1" t="s">
        <v>903</v>
      </c>
      <c r="C79" s="1" t="s">
        <v>903</v>
      </c>
      <c r="D79" s="1" t="s">
        <v>904</v>
      </c>
      <c r="E79" s="1" t="s">
        <v>905</v>
      </c>
      <c r="F79" s="1" t="s">
        <v>906</v>
      </c>
      <c r="I79" s="1" t="s">
        <v>604</v>
      </c>
      <c r="J79" s="1" t="s">
        <v>685</v>
      </c>
      <c r="K79" s="5" t="b">
        <f aca="false">TRUE()</f>
        <v>1</v>
      </c>
      <c r="L79" s="5" t="b">
        <f aca="false">TRUE()</f>
        <v>1</v>
      </c>
      <c r="M79" s="5" t="b">
        <f aca="false">FALSE()</f>
        <v>0</v>
      </c>
      <c r="N79" s="1" t="n">
        <f aca="false">LEN(Table1[[#This Row],[effect]])</f>
        <v>252</v>
      </c>
      <c r="O79" s="1" t="str">
        <f aca="false">Table1[[#This Row],[name]]</f>
        <v>Vision Temporelle</v>
      </c>
    </row>
    <row r="80" s="1" customFormat="true" ht="15" hidden="true" customHeight="false" outlineLevel="0" collapsed="false">
      <c r="A80" s="1" t="s">
        <v>907</v>
      </c>
      <c r="B80" s="1" t="s">
        <v>907</v>
      </c>
      <c r="C80" s="1" t="s">
        <v>907</v>
      </c>
      <c r="D80" s="1" t="s">
        <v>908</v>
      </c>
      <c r="E80" s="1" t="s">
        <v>909</v>
      </c>
      <c r="F80" s="1" t="s">
        <v>910</v>
      </c>
      <c r="I80" s="1" t="s">
        <v>568</v>
      </c>
      <c r="J80" s="1" t="s">
        <v>685</v>
      </c>
      <c r="K80" s="5" t="b">
        <f aca="false">TRUE()</f>
        <v>1</v>
      </c>
      <c r="L80" s="5" t="b">
        <f aca="false">TRUE()</f>
        <v>1</v>
      </c>
      <c r="M80" s="5" t="b">
        <f aca="false">FALSE()</f>
        <v>0</v>
      </c>
      <c r="N80" s="1" t="n">
        <f aca="false">LEN(Table1[[#This Row],[effect]])</f>
        <v>253</v>
      </c>
      <c r="O80" s="1" t="str">
        <f aca="false">Table1[[#This Row],[name]]</f>
        <v>Dilatation Temporelle (Offensive)</v>
      </c>
    </row>
    <row r="81" s="1" customFormat="true" ht="15" hidden="true" customHeight="false" outlineLevel="0" collapsed="false">
      <c r="A81" s="1" t="s">
        <v>911</v>
      </c>
      <c r="B81" s="1" t="s">
        <v>911</v>
      </c>
      <c r="C81" s="1" t="s">
        <v>911</v>
      </c>
      <c r="D81" s="1" t="s">
        <v>912</v>
      </c>
      <c r="E81" s="1" t="s">
        <v>913</v>
      </c>
      <c r="F81" s="1" t="s">
        <v>914</v>
      </c>
      <c r="I81" s="1" t="s">
        <v>604</v>
      </c>
      <c r="J81" s="1" t="s">
        <v>599</v>
      </c>
      <c r="K81" s="5" t="b">
        <f aca="false">TRUE()</f>
        <v>1</v>
      </c>
      <c r="L81" s="5" t="b">
        <f aca="false">FALSE()</f>
        <v>0</v>
      </c>
      <c r="M81" s="5" t="b">
        <f aca="false">FALSE()</f>
        <v>0</v>
      </c>
      <c r="N81" s="1" t="n">
        <f aca="false">LEN(Table1[[#This Row],[effect]])</f>
        <v>254</v>
      </c>
      <c r="O81" s="1" t="str">
        <f aca="false">Table1[[#This Row],[name]]</f>
        <v>Attracteur</v>
      </c>
    </row>
    <row r="82" s="1" customFormat="true" ht="15" hidden="true" customHeight="false" outlineLevel="0" collapsed="false">
      <c r="A82" s="1" t="s">
        <v>915</v>
      </c>
      <c r="B82" s="1" t="s">
        <v>915</v>
      </c>
      <c r="C82" s="1" t="s">
        <v>915</v>
      </c>
      <c r="D82" s="1" t="s">
        <v>916</v>
      </c>
      <c r="E82" s="1" t="s">
        <v>917</v>
      </c>
      <c r="F82" s="1" t="s">
        <v>918</v>
      </c>
      <c r="I82" s="1" t="s">
        <v>18</v>
      </c>
      <c r="J82" s="1" t="s">
        <v>636</v>
      </c>
      <c r="K82" s="5" t="b">
        <f aca="false">TRUE()</f>
        <v>1</v>
      </c>
      <c r="L82" s="5" t="b">
        <f aca="false">TRUE()</f>
        <v>1</v>
      </c>
      <c r="M82" s="5" t="b">
        <f aca="false">FALSE()</f>
        <v>0</v>
      </c>
      <c r="N82" s="1" t="n">
        <f aca="false">LEN(Table1[[#This Row],[effect]])</f>
        <v>254</v>
      </c>
      <c r="O82" s="1" t="str">
        <f aca="false">Table1[[#This Row],[name]]</f>
        <v>Mur d'Eclairs</v>
      </c>
    </row>
    <row r="83" customFormat="false" ht="15" hidden="true" customHeight="false" outlineLevel="0" collapsed="false">
      <c r="A83" s="4" t="s">
        <v>919</v>
      </c>
      <c r="B83" s="4" t="s">
        <v>919</v>
      </c>
      <c r="C83" s="4" t="s">
        <v>919</v>
      </c>
      <c r="D83" s="4" t="s">
        <v>920</v>
      </c>
      <c r="E83" s="4" t="s">
        <v>921</v>
      </c>
      <c r="F83" s="4" t="s">
        <v>922</v>
      </c>
      <c r="I83" s="4" t="s">
        <v>18</v>
      </c>
      <c r="J83" s="4" t="s">
        <v>609</v>
      </c>
      <c r="K83" s="7" t="b">
        <f aca="false">TRUE()</f>
        <v>1</v>
      </c>
      <c r="L83" s="7" t="b">
        <f aca="false">TRUE()</f>
        <v>1</v>
      </c>
      <c r="M83" s="7" t="b">
        <f aca="false">FALSE()</f>
        <v>0</v>
      </c>
      <c r="N83" s="4" t="n">
        <f aca="false">LEN(Table1[[#This Row],[effect]])</f>
        <v>256</v>
      </c>
      <c r="O83" s="4" t="str">
        <f aca="false">Table1[[#This Row],[name]]</f>
        <v>Détonation (Desséchant)</v>
      </c>
    </row>
    <row r="84" s="1" customFormat="true" ht="15" hidden="true" customHeight="false" outlineLevel="0" collapsed="false">
      <c r="A84" s="1" t="s">
        <v>923</v>
      </c>
      <c r="B84" s="1" t="s">
        <v>923</v>
      </c>
      <c r="C84" s="1" t="s">
        <v>923</v>
      </c>
      <c r="D84" s="1" t="s">
        <v>924</v>
      </c>
      <c r="E84" s="1" t="s">
        <v>925</v>
      </c>
      <c r="F84" s="1" t="s">
        <v>926</v>
      </c>
      <c r="I84" s="1" t="s">
        <v>624</v>
      </c>
      <c r="J84" s="1" t="s">
        <v>605</v>
      </c>
      <c r="K84" s="5" t="b">
        <f aca="false">TRUE()</f>
        <v>1</v>
      </c>
      <c r="L84" s="5" t="b">
        <f aca="false">FALSE()</f>
        <v>0</v>
      </c>
      <c r="M84" s="5" t="b">
        <f aca="false">FALSE()</f>
        <v>0</v>
      </c>
      <c r="N84" s="1" t="n">
        <f aca="false">LEN(Table1[[#This Row],[effect]])</f>
        <v>259</v>
      </c>
      <c r="O84" s="1" t="str">
        <f aca="false">Table1[[#This Row],[name]]</f>
        <v>Cache d'Equipement</v>
      </c>
    </row>
    <row r="85" s="1" customFormat="true" ht="15" hidden="true" customHeight="false" outlineLevel="0" collapsed="false">
      <c r="A85" s="1" t="s">
        <v>927</v>
      </c>
      <c r="B85" s="1" t="s">
        <v>927</v>
      </c>
      <c r="C85" s="1" t="s">
        <v>927</v>
      </c>
      <c r="D85" s="1" t="s">
        <v>928</v>
      </c>
      <c r="E85" s="1" t="s">
        <v>929</v>
      </c>
      <c r="F85" s="1" t="s">
        <v>930</v>
      </c>
      <c r="I85" s="1" t="s">
        <v>624</v>
      </c>
      <c r="J85" s="1" t="s">
        <v>658</v>
      </c>
      <c r="K85" s="5" t="b">
        <f aca="false">TRUE()</f>
        <v>1</v>
      </c>
      <c r="L85" s="5" t="b">
        <f aca="false">TRUE()</f>
        <v>1</v>
      </c>
      <c r="M85" s="5" t="b">
        <f aca="false">FALSE()</f>
        <v>0</v>
      </c>
      <c r="N85" s="1" t="n">
        <f aca="false">LEN(Table1[[#This Row],[effect]])</f>
        <v>260</v>
      </c>
      <c r="O85" s="1" t="str">
        <f aca="false">Table1[[#This Row],[name]]</f>
        <v>Répéteur</v>
      </c>
    </row>
    <row r="86" s="1" customFormat="true" ht="15" hidden="true" customHeight="false" outlineLevel="0" collapsed="false">
      <c r="A86" s="1" t="s">
        <v>931</v>
      </c>
      <c r="B86" s="1" t="s">
        <v>931</v>
      </c>
      <c r="C86" s="1" t="s">
        <v>931</v>
      </c>
      <c r="D86" s="1" t="s">
        <v>932</v>
      </c>
      <c r="E86" s="1" t="s">
        <v>933</v>
      </c>
      <c r="F86" s="1" t="s">
        <v>934</v>
      </c>
      <c r="I86" s="1" t="s">
        <v>568</v>
      </c>
      <c r="J86" s="1" t="s">
        <v>569</v>
      </c>
      <c r="K86" s="5" t="b">
        <f aca="false">FALSE()</f>
        <v>0</v>
      </c>
      <c r="L86" s="5" t="b">
        <f aca="false">FALSE()</f>
        <v>0</v>
      </c>
      <c r="M86" s="5" t="b">
        <f aca="false">TRUE()</f>
        <v>1</v>
      </c>
      <c r="N86" s="1" t="n">
        <f aca="false">LEN(Table1[[#This Row],[effect]])</f>
        <v>260</v>
      </c>
      <c r="O86" s="1" t="str">
        <f aca="false">Table1[[#This Row],[name]]</f>
        <v>Amplificateur de Puissance</v>
      </c>
    </row>
    <row r="87" s="1" customFormat="true" ht="15" hidden="true" customHeight="false" outlineLevel="0" collapsed="false">
      <c r="A87" s="1" t="s">
        <v>935</v>
      </c>
      <c r="B87" s="1" t="s">
        <v>935</v>
      </c>
      <c r="C87" s="1" t="s">
        <v>935</v>
      </c>
      <c r="D87" s="1" t="s">
        <v>936</v>
      </c>
      <c r="E87" s="1" t="s">
        <v>937</v>
      </c>
      <c r="F87" s="1" t="s">
        <v>938</v>
      </c>
      <c r="I87" s="1" t="s">
        <v>18</v>
      </c>
      <c r="J87" s="1" t="s">
        <v>586</v>
      </c>
      <c r="K87" s="5" t="b">
        <f aca="false">TRUE()</f>
        <v>1</v>
      </c>
      <c r="L87" s="5" t="b">
        <f aca="false">TRUE()</f>
        <v>1</v>
      </c>
      <c r="M87" s="5" t="b">
        <f aca="false">FALSE()</f>
        <v>0</v>
      </c>
      <c r="N87" s="1" t="n">
        <f aca="false">LEN(Table1[[#This Row],[effect]])</f>
        <v>261</v>
      </c>
      <c r="O87" s="1" t="str">
        <f aca="false">Table1[[#This Row],[name]]</f>
        <v>Emetteur de Rayon (Commande)</v>
      </c>
    </row>
    <row r="88" s="1" customFormat="true" ht="15" hidden="true" customHeight="false" outlineLevel="0" collapsed="false">
      <c r="A88" s="1" t="s">
        <v>939</v>
      </c>
      <c r="B88" s="1" t="s">
        <v>939</v>
      </c>
      <c r="C88" s="1" t="s">
        <v>939</v>
      </c>
      <c r="D88" s="1" t="s">
        <v>940</v>
      </c>
      <c r="E88" s="1" t="s">
        <v>941</v>
      </c>
      <c r="F88" s="1" t="s">
        <v>942</v>
      </c>
      <c r="I88" s="1" t="s">
        <v>568</v>
      </c>
      <c r="J88" s="1" t="s">
        <v>685</v>
      </c>
      <c r="K88" s="5" t="b">
        <f aca="false">TRUE()</f>
        <v>1</v>
      </c>
      <c r="L88" s="5" t="b">
        <f aca="false">TRUE()</f>
        <v>1</v>
      </c>
      <c r="M88" s="5" t="b">
        <f aca="false">FALSE()</f>
        <v>0</v>
      </c>
      <c r="N88" s="1" t="n">
        <f aca="false">LEN(Table1[[#This Row],[effect]])</f>
        <v>264</v>
      </c>
      <c r="O88" s="1" t="str">
        <f aca="false">Table1[[#This Row],[name]]</f>
        <v>Changeur de Visage</v>
      </c>
    </row>
    <row r="89" s="1" customFormat="true" ht="15" hidden="true" customHeight="false" outlineLevel="0" collapsed="false">
      <c r="A89" s="1" t="s">
        <v>943</v>
      </c>
      <c r="B89" s="1" t="s">
        <v>943</v>
      </c>
      <c r="C89" s="1" t="s">
        <v>943</v>
      </c>
      <c r="D89" s="1" t="s">
        <v>944</v>
      </c>
      <c r="E89" s="1" t="s">
        <v>945</v>
      </c>
      <c r="F89" s="1" t="s">
        <v>946</v>
      </c>
      <c r="I89" s="1" t="s">
        <v>18</v>
      </c>
      <c r="J89" s="1" t="s">
        <v>574</v>
      </c>
      <c r="K89" s="5" t="b">
        <f aca="false">TRUE()</f>
        <v>1</v>
      </c>
      <c r="L89" s="5" t="b">
        <f aca="false">TRUE()</f>
        <v>1</v>
      </c>
      <c r="M89" s="5" t="b">
        <f aca="false">FALSE()</f>
        <v>0</v>
      </c>
      <c r="N89" s="1" t="n">
        <f aca="false">LEN(Table1[[#This Row],[effect]])</f>
        <v>266</v>
      </c>
      <c r="O89" s="1" t="str">
        <f aca="false">Table1[[#This Row],[name]]</f>
        <v>Monolame</v>
      </c>
    </row>
    <row r="90" s="1" customFormat="true" ht="2256.7" hidden="true" customHeight="false" outlineLevel="0" collapsed="false">
      <c r="A90" s="1" t="s">
        <v>947</v>
      </c>
      <c r="B90" s="1" t="s">
        <v>947</v>
      </c>
      <c r="C90" s="1" t="s">
        <v>947</v>
      </c>
      <c r="D90" s="1" t="s">
        <v>948</v>
      </c>
      <c r="E90" s="1" t="s">
        <v>949</v>
      </c>
      <c r="F90" s="1" t="s">
        <v>950</v>
      </c>
      <c r="H90" s="6" t="s">
        <v>951</v>
      </c>
      <c r="I90" s="1" t="s">
        <v>624</v>
      </c>
      <c r="J90" s="1" t="s">
        <v>615</v>
      </c>
      <c r="K90" s="5" t="b">
        <f aca="false">TRUE()</f>
        <v>1</v>
      </c>
      <c r="L90" s="5" t="b">
        <f aca="false">TRUE()</f>
        <v>1</v>
      </c>
      <c r="M90" s="5" t="b">
        <f aca="false">FALSE()</f>
        <v>0</v>
      </c>
      <c r="N90" s="1" t="n">
        <f aca="false">LEN(Table1[[#This Row],[effect]])</f>
        <v>269</v>
      </c>
      <c r="O90" s="1" t="str">
        <f aca="false">Table1[[#This Row],[name]]</f>
        <v>Poison (Explosif)</v>
      </c>
    </row>
    <row r="91" customFormat="false" ht="15" hidden="true" customHeight="false" outlineLevel="0" collapsed="false">
      <c r="A91" s="4" t="s">
        <v>952</v>
      </c>
      <c r="B91" s="4" t="s">
        <v>952</v>
      </c>
      <c r="C91" s="4" t="s">
        <v>952</v>
      </c>
      <c r="D91" s="4" t="s">
        <v>953</v>
      </c>
      <c r="E91" s="4" t="s">
        <v>954</v>
      </c>
      <c r="F91" s="4" t="s">
        <v>955</v>
      </c>
      <c r="I91" s="4" t="s">
        <v>18</v>
      </c>
      <c r="J91" s="4" t="s">
        <v>625</v>
      </c>
      <c r="K91" s="7" t="b">
        <f aca="false">TRUE()</f>
        <v>1</v>
      </c>
      <c r="L91" s="7" t="b">
        <f aca="false">FALSE()</f>
        <v>0</v>
      </c>
      <c r="M91" s="7" t="b">
        <f aca="false">FALSE()</f>
        <v>0</v>
      </c>
      <c r="N91" s="4" t="n">
        <f aca="false">LEN(Table1[[#This Row],[effect]])</f>
        <v>275</v>
      </c>
      <c r="O91" s="4" t="str">
        <f aca="false">Table1[[#This Row],[name]]</f>
        <v>Détonation (Pression)</v>
      </c>
    </row>
    <row r="92" s="1" customFormat="true" ht="15" hidden="true" customHeight="false" outlineLevel="0" collapsed="false">
      <c r="A92" s="1" t="s">
        <v>956</v>
      </c>
      <c r="B92" s="1" t="s">
        <v>956</v>
      </c>
      <c r="C92" s="1" t="s">
        <v>956</v>
      </c>
      <c r="D92" s="1" t="s">
        <v>957</v>
      </c>
      <c r="E92" s="1" t="s">
        <v>958</v>
      </c>
      <c r="F92" s="1" t="s">
        <v>959</v>
      </c>
      <c r="I92" s="1" t="s">
        <v>710</v>
      </c>
      <c r="J92" s="1" t="s">
        <v>757</v>
      </c>
      <c r="K92" s="5" t="b">
        <f aca="false">TRUE()</f>
        <v>1</v>
      </c>
      <c r="L92" s="5" t="b">
        <f aca="false">TRUE()</f>
        <v>1</v>
      </c>
      <c r="M92" s="5" t="b">
        <f aca="false">FALSE()</f>
        <v>0</v>
      </c>
      <c r="N92" s="1" t="n">
        <f aca="false">LEN(Table1[[#This Row],[effect]])</f>
        <v>280</v>
      </c>
      <c r="O92" s="1" t="str">
        <f aca="false">Table1[[#This Row],[name]]</f>
        <v>Nullificateur de Gravité</v>
      </c>
    </row>
    <row r="93" s="1" customFormat="true" ht="15" hidden="true" customHeight="false" outlineLevel="0" collapsed="false">
      <c r="A93" s="1" t="s">
        <v>960</v>
      </c>
      <c r="B93" s="1" t="s">
        <v>960</v>
      </c>
      <c r="C93" s="1" t="s">
        <v>960</v>
      </c>
      <c r="D93" s="1" t="s">
        <v>961</v>
      </c>
      <c r="E93" s="1" t="s">
        <v>962</v>
      </c>
      <c r="F93" s="1" t="s">
        <v>963</v>
      </c>
      <c r="I93" s="1" t="s">
        <v>18</v>
      </c>
      <c r="J93" s="1" t="s">
        <v>590</v>
      </c>
      <c r="K93" s="5" t="b">
        <f aca="false">TRUE()</f>
        <v>1</v>
      </c>
      <c r="L93" s="5" t="b">
        <f aca="false">TRUE()</f>
        <v>1</v>
      </c>
      <c r="M93" s="5" t="b">
        <f aca="false">FALSE()</f>
        <v>0</v>
      </c>
      <c r="N93" s="1" t="n">
        <f aca="false">LEN(Table1[[#This Row],[effect]])</f>
        <v>280</v>
      </c>
      <c r="O93" s="1" t="str">
        <f aca="false">Table1[[#This Row],[name]]</f>
        <v>Interrupteur de Mémoire</v>
      </c>
    </row>
    <row r="94" s="1" customFormat="true" ht="15" hidden="true" customHeight="false" outlineLevel="0" collapsed="false">
      <c r="A94" s="1" t="s">
        <v>964</v>
      </c>
      <c r="B94" s="1" t="s">
        <v>964</v>
      </c>
      <c r="C94" s="1" t="s">
        <v>964</v>
      </c>
      <c r="D94" s="1" t="s">
        <v>965</v>
      </c>
      <c r="E94" s="1" t="s">
        <v>966</v>
      </c>
      <c r="F94" s="1" t="s">
        <v>967</v>
      </c>
      <c r="I94" s="1" t="s">
        <v>568</v>
      </c>
      <c r="J94" s="1" t="s">
        <v>569</v>
      </c>
      <c r="K94" s="5" t="b">
        <f aca="false">TRUE()</f>
        <v>1</v>
      </c>
      <c r="L94" s="5" t="b">
        <f aca="false">TRUE()</f>
        <v>1</v>
      </c>
      <c r="M94" s="5" t="b">
        <f aca="false">FALSE()</f>
        <v>0</v>
      </c>
      <c r="N94" s="1" t="n">
        <f aca="false">LEN(Table1[[#This Row],[effect]])</f>
        <v>281</v>
      </c>
      <c r="O94" s="1" t="str">
        <f aca="false">Table1[[#This Row],[name]]</f>
        <v>Gardien de Stase</v>
      </c>
    </row>
    <row r="95" s="1" customFormat="true" ht="15" hidden="true" customHeight="false" outlineLevel="0" collapsed="false">
      <c r="A95" s="1" t="s">
        <v>968</v>
      </c>
      <c r="B95" s="1" t="s">
        <v>968</v>
      </c>
      <c r="C95" s="1" t="s">
        <v>968</v>
      </c>
      <c r="D95" s="1" t="s">
        <v>969</v>
      </c>
      <c r="E95" s="1" t="s">
        <v>970</v>
      </c>
      <c r="F95" s="1" t="s">
        <v>971</v>
      </c>
      <c r="I95" s="1" t="s">
        <v>604</v>
      </c>
      <c r="J95" s="1" t="s">
        <v>599</v>
      </c>
      <c r="K95" s="5" t="b">
        <f aca="false">TRUE()</f>
        <v>1</v>
      </c>
      <c r="L95" s="5" t="b">
        <f aca="false">TRUE()</f>
        <v>1</v>
      </c>
      <c r="M95" s="5" t="b">
        <f aca="false">FALSE()</f>
        <v>0</v>
      </c>
      <c r="N95" s="1" t="n">
        <f aca="false">LEN(Table1[[#This Row],[effect]])</f>
        <v>281</v>
      </c>
      <c r="O95" s="1" t="str">
        <f aca="false">Table1[[#This Row],[name]]</f>
        <v>Preneur d'à‚ge</v>
      </c>
    </row>
    <row r="96" s="1" customFormat="true" ht="15" hidden="true" customHeight="false" outlineLevel="0" collapsed="false">
      <c r="A96" s="1" t="s">
        <v>972</v>
      </c>
      <c r="B96" s="1" t="s">
        <v>972</v>
      </c>
      <c r="C96" s="1" t="s">
        <v>972</v>
      </c>
      <c r="D96" s="1" t="s">
        <v>973</v>
      </c>
      <c r="E96" s="1" t="s">
        <v>974</v>
      </c>
      <c r="F96" s="1" t="s">
        <v>975</v>
      </c>
      <c r="I96" s="1" t="s">
        <v>568</v>
      </c>
      <c r="J96" s="1" t="s">
        <v>658</v>
      </c>
      <c r="K96" s="5" t="b">
        <f aca="false">FALSE()</f>
        <v>0</v>
      </c>
      <c r="L96" s="5" t="b">
        <f aca="false">FALSE()</f>
        <v>0</v>
      </c>
      <c r="M96" s="5" t="b">
        <f aca="false">TRUE()</f>
        <v>1</v>
      </c>
      <c r="N96" s="1" t="n">
        <f aca="false">LEN(Table1[[#This Row],[effect]])</f>
        <v>289</v>
      </c>
      <c r="O96" s="1" t="str">
        <f aca="false">Table1[[#This Row],[name]]</f>
        <v>Souvenir</v>
      </c>
    </row>
    <row r="97" s="1" customFormat="true" ht="15" hidden="true" customHeight="false" outlineLevel="0" collapsed="false">
      <c r="A97" s="1" t="s">
        <v>976</v>
      </c>
      <c r="B97" s="1" t="s">
        <v>976</v>
      </c>
      <c r="C97" s="1" t="s">
        <v>976</v>
      </c>
      <c r="D97" s="1" t="s">
        <v>703</v>
      </c>
      <c r="E97" s="1" t="s">
        <v>977</v>
      </c>
      <c r="F97" s="1" t="s">
        <v>978</v>
      </c>
      <c r="I97" s="1" t="s">
        <v>624</v>
      </c>
      <c r="J97" s="1" t="s">
        <v>605</v>
      </c>
      <c r="K97" s="5" t="b">
        <f aca="false">TRUE()</f>
        <v>1</v>
      </c>
      <c r="L97" s="5" t="b">
        <f aca="false">TRUE()</f>
        <v>1</v>
      </c>
      <c r="M97" s="5" t="b">
        <f aca="false">FALSE()</f>
        <v>0</v>
      </c>
      <c r="N97" s="1" t="n">
        <f aca="false">LEN(Table1[[#This Row],[effect]])</f>
        <v>295</v>
      </c>
      <c r="O97" s="1" t="str">
        <f aca="false">Table1[[#This Row],[name]]</f>
        <v>Vision à  Distance</v>
      </c>
    </row>
    <row r="98" s="1" customFormat="true" ht="15" hidden="true" customHeight="false" outlineLevel="0" collapsed="false">
      <c r="A98" s="1" t="s">
        <v>979</v>
      </c>
      <c r="B98" s="1" t="s">
        <v>979</v>
      </c>
      <c r="C98" s="1" t="s">
        <v>979</v>
      </c>
      <c r="D98" s="1" t="s">
        <v>980</v>
      </c>
      <c r="E98" s="1" t="s">
        <v>981</v>
      </c>
      <c r="F98" s="1" t="s">
        <v>982</v>
      </c>
      <c r="I98" s="1" t="s">
        <v>18</v>
      </c>
      <c r="J98" s="1" t="s">
        <v>757</v>
      </c>
      <c r="K98" s="5" t="b">
        <f aca="false">TRUE()</f>
        <v>1</v>
      </c>
      <c r="L98" s="5" t="b">
        <f aca="false">TRUE()</f>
        <v>1</v>
      </c>
      <c r="M98" s="5" t="b">
        <f aca="false">FALSE()</f>
        <v>0</v>
      </c>
      <c r="N98" s="1" t="n">
        <f aca="false">LEN(Table1[[#This Row],[effect]])</f>
        <v>298</v>
      </c>
      <c r="O98" s="1" t="str">
        <f aca="false">Table1[[#This Row],[name]]</f>
        <v>Application Nullifiant la Gravité</v>
      </c>
    </row>
    <row r="99" s="1" customFormat="true" ht="15" hidden="true" customHeight="false" outlineLevel="0" collapsed="false">
      <c r="A99" s="1" t="s">
        <v>983</v>
      </c>
      <c r="B99" s="1" t="s">
        <v>983</v>
      </c>
      <c r="C99" s="1" t="s">
        <v>983</v>
      </c>
      <c r="D99" s="1" t="s">
        <v>984</v>
      </c>
      <c r="E99" s="1" t="s">
        <v>985</v>
      </c>
      <c r="F99" s="1" t="s">
        <v>986</v>
      </c>
      <c r="I99" s="1" t="s">
        <v>568</v>
      </c>
      <c r="J99" s="1" t="s">
        <v>658</v>
      </c>
      <c r="K99" s="5" t="b">
        <f aca="false">TRUE()</f>
        <v>1</v>
      </c>
      <c r="L99" s="5" t="b">
        <f aca="false">TRUE()</f>
        <v>1</v>
      </c>
      <c r="M99" s="5" t="b">
        <f aca="false">FALSE()</f>
        <v>0</v>
      </c>
      <c r="N99" s="1" t="n">
        <f aca="false">LEN(Table1[[#This Row],[effect]])</f>
        <v>300</v>
      </c>
      <c r="O99" s="1" t="str">
        <f aca="false">Table1[[#This Row],[name]]</f>
        <v>Rétaliation</v>
      </c>
    </row>
    <row r="100" s="1" customFormat="true" ht="15" hidden="true" customHeight="false" outlineLevel="0" collapsed="false">
      <c r="A100" s="1" t="s">
        <v>987</v>
      </c>
      <c r="B100" s="1" t="s">
        <v>987</v>
      </c>
      <c r="C100" s="1" t="s">
        <v>987</v>
      </c>
      <c r="D100" s="1" t="s">
        <v>988</v>
      </c>
      <c r="E100" s="1" t="s">
        <v>989</v>
      </c>
      <c r="F100" s="1" t="s">
        <v>990</v>
      </c>
      <c r="I100" s="1" t="s">
        <v>18</v>
      </c>
      <c r="J100" s="1" t="s">
        <v>574</v>
      </c>
      <c r="K100" s="5" t="b">
        <f aca="false">FALSE()</f>
        <v>0</v>
      </c>
      <c r="L100" s="5" t="b">
        <f aca="false">FALSE()</f>
        <v>0</v>
      </c>
      <c r="M100" s="5" t="b">
        <f aca="false">TRUE()</f>
        <v>1</v>
      </c>
      <c r="N100" s="1" t="n">
        <f aca="false">LEN(Table1[[#This Row],[effect]])</f>
        <v>302</v>
      </c>
      <c r="O100" s="1" t="str">
        <f aca="false">Table1[[#This Row],[name]]</f>
        <v>Capteur de Mouvement</v>
      </c>
    </row>
    <row r="101" s="1" customFormat="true" ht="15" hidden="true" customHeight="false" outlineLevel="0" collapsed="false">
      <c r="A101" s="1" t="s">
        <v>991</v>
      </c>
      <c r="B101" s="1" t="s">
        <v>991</v>
      </c>
      <c r="C101" s="1" t="s">
        <v>991</v>
      </c>
      <c r="D101" s="1" t="s">
        <v>992</v>
      </c>
      <c r="E101" s="1" t="s">
        <v>993</v>
      </c>
      <c r="F101" s="1" t="s">
        <v>994</v>
      </c>
      <c r="J101" s="1" t="s">
        <v>615</v>
      </c>
      <c r="K101" s="5" t="b">
        <f aca="false">TRUE()</f>
        <v>1</v>
      </c>
      <c r="L101" s="5" t="b">
        <f aca="false">TRUE()</f>
        <v>1</v>
      </c>
      <c r="M101" s="5" t="b">
        <f aca="false">FALSE()</f>
        <v>0</v>
      </c>
      <c r="N101" s="1" t="n">
        <f aca="false">LEN(Table1[[#This Row],[effect]])</f>
        <v>303</v>
      </c>
      <c r="O101" s="1" t="str">
        <f aca="false">Table1[[#This Row],[name]]</f>
        <v>Changeur de Phase</v>
      </c>
    </row>
    <row r="102" s="1" customFormat="true" ht="15" hidden="true" customHeight="false" outlineLevel="0" collapsed="false">
      <c r="A102" s="1" t="s">
        <v>995</v>
      </c>
      <c r="B102" s="1" t="s">
        <v>995</v>
      </c>
      <c r="C102" s="1" t="s">
        <v>995</v>
      </c>
      <c r="D102" s="1" t="s">
        <v>996</v>
      </c>
      <c r="E102" s="1" t="s">
        <v>997</v>
      </c>
      <c r="F102" s="1" t="s">
        <v>998</v>
      </c>
      <c r="I102" s="1" t="s">
        <v>568</v>
      </c>
      <c r="J102" s="1" t="s">
        <v>631</v>
      </c>
      <c r="K102" s="5" t="b">
        <f aca="false">TRUE()</f>
        <v>1</v>
      </c>
      <c r="L102" s="5" t="b">
        <f aca="false">FALSE()</f>
        <v>0</v>
      </c>
      <c r="M102" s="5" t="b">
        <f aca="false">FALSE()</f>
        <v>0</v>
      </c>
      <c r="N102" s="1" t="n">
        <f aca="false">LEN(Table1[[#This Row],[effect]])</f>
        <v>305</v>
      </c>
      <c r="O102" s="1" t="str">
        <f aca="false">Table1[[#This Row],[name]]</f>
        <v>Module de Tireur d'Elite</v>
      </c>
    </row>
    <row r="103" s="1" customFormat="true" ht="15" hidden="true" customHeight="false" outlineLevel="0" collapsed="false">
      <c r="A103" s="1" t="s">
        <v>999</v>
      </c>
      <c r="B103" s="1" t="s">
        <v>999</v>
      </c>
      <c r="C103" s="1" t="s">
        <v>999</v>
      </c>
      <c r="D103" s="1" t="s">
        <v>1000</v>
      </c>
      <c r="E103" s="1" t="s">
        <v>1001</v>
      </c>
      <c r="F103" s="1" t="s">
        <v>1002</v>
      </c>
      <c r="I103" s="1" t="s">
        <v>18</v>
      </c>
      <c r="J103" s="1" t="s">
        <v>586</v>
      </c>
      <c r="K103" s="5" t="b">
        <f aca="false">TRUE()</f>
        <v>1</v>
      </c>
      <c r="L103" s="5" t="b">
        <f aca="false">TRUE()</f>
        <v>1</v>
      </c>
      <c r="M103" s="5" t="b">
        <f aca="false">FALSE()</f>
        <v>0</v>
      </c>
      <c r="N103" s="1" t="n">
        <f aca="false">LEN(Table1[[#This Row],[effect]])</f>
        <v>306</v>
      </c>
      <c r="O103" s="1" t="str">
        <f aca="false">Table1[[#This Row],[name]]</f>
        <v>Emetteur de Rayon (Engourdissement)</v>
      </c>
    </row>
    <row r="104" s="1" customFormat="true" ht="15" hidden="true" customHeight="false" outlineLevel="0" collapsed="false">
      <c r="A104" s="1" t="s">
        <v>1003</v>
      </c>
      <c r="B104" s="1" t="s">
        <v>1003</v>
      </c>
      <c r="C104" s="1" t="s">
        <v>1003</v>
      </c>
      <c r="D104" s="1" t="s">
        <v>1004</v>
      </c>
      <c r="E104" s="1" t="s">
        <v>1005</v>
      </c>
      <c r="F104" s="1" t="s">
        <v>1006</v>
      </c>
      <c r="I104" s="1" t="s">
        <v>568</v>
      </c>
      <c r="J104" s="1" t="s">
        <v>658</v>
      </c>
      <c r="K104" s="5" t="b">
        <f aca="false">TRUE()</f>
        <v>1</v>
      </c>
      <c r="L104" s="5" t="b">
        <f aca="false">TRUE()</f>
        <v>1</v>
      </c>
      <c r="M104" s="5" t="b">
        <f aca="false">FALSE()</f>
        <v>0</v>
      </c>
      <c r="N104" s="1" t="n">
        <f aca="false">LEN(Table1[[#This Row],[effect]])</f>
        <v>307</v>
      </c>
      <c r="O104" s="1" t="str">
        <f aca="false">Table1[[#This Row],[name]]</f>
        <v>Brillance</v>
      </c>
    </row>
    <row r="105" customFormat="false" ht="15" hidden="true" customHeight="false" outlineLevel="0" collapsed="false">
      <c r="A105" s="4" t="s">
        <v>1007</v>
      </c>
      <c r="B105" s="4" t="s">
        <v>1007</v>
      </c>
      <c r="C105" s="4" t="s">
        <v>1007</v>
      </c>
      <c r="D105" s="4" t="s">
        <v>1008</v>
      </c>
      <c r="E105" s="4" t="s">
        <v>1009</v>
      </c>
      <c r="F105" s="4" t="s">
        <v>1010</v>
      </c>
      <c r="I105" s="4" t="s">
        <v>624</v>
      </c>
      <c r="J105" s="4" t="s">
        <v>609</v>
      </c>
      <c r="K105" s="7" t="b">
        <f aca="false">TRUE()</f>
        <v>1</v>
      </c>
      <c r="L105" s="7" t="b">
        <f aca="false">TRUE()</f>
        <v>1</v>
      </c>
      <c r="M105" s="7" t="b">
        <f aca="false">FALSE()</f>
        <v>0</v>
      </c>
      <c r="N105" s="4" t="n">
        <f aca="false">LEN(Table1[[#This Row],[effect]])</f>
        <v>319</v>
      </c>
      <c r="O105" s="4" t="str">
        <f aca="false">Table1[[#This Row],[name]]</f>
        <v>Détonation (Créature)</v>
      </c>
    </row>
    <row r="106" s="1" customFormat="true" ht="15" hidden="true" customHeight="false" outlineLevel="0" collapsed="false">
      <c r="A106" s="1" t="s">
        <v>1011</v>
      </c>
      <c r="B106" s="1" t="s">
        <v>1011</v>
      </c>
      <c r="C106" s="1" t="s">
        <v>1011</v>
      </c>
      <c r="D106" s="1" t="s">
        <v>1012</v>
      </c>
      <c r="E106" s="1" t="s">
        <v>1013</v>
      </c>
      <c r="F106" s="1" t="s">
        <v>1014</v>
      </c>
      <c r="I106" s="1" t="s">
        <v>568</v>
      </c>
      <c r="J106" s="1" t="s">
        <v>609</v>
      </c>
      <c r="K106" s="5" t="b">
        <f aca="false">TRUE()</f>
        <v>1</v>
      </c>
      <c r="L106" s="5" t="b">
        <f aca="false">FALSE()</f>
        <v>0</v>
      </c>
      <c r="M106" s="5" t="b">
        <f aca="false">FALSE()</f>
        <v>0</v>
      </c>
      <c r="N106" s="1" t="n">
        <f aca="false">LEN(Table1[[#This Row],[effect]])</f>
        <v>323</v>
      </c>
      <c r="O106" s="1" t="str">
        <f aca="false">Table1[[#This Row],[name]]</f>
        <v>Porteur de Mort</v>
      </c>
    </row>
    <row r="107" s="1" customFormat="true" ht="15" hidden="true" customHeight="false" outlineLevel="0" collapsed="false">
      <c r="A107" s="1" t="s">
        <v>1015</v>
      </c>
      <c r="B107" s="1" t="s">
        <v>1015</v>
      </c>
      <c r="C107" s="1" t="s">
        <v>1015</v>
      </c>
      <c r="D107" s="1" t="s">
        <v>1016</v>
      </c>
      <c r="E107" s="1" t="s">
        <v>1017</v>
      </c>
      <c r="F107" s="1" t="s">
        <v>1018</v>
      </c>
      <c r="I107" s="1" t="s">
        <v>18</v>
      </c>
      <c r="J107" s="1" t="s">
        <v>574</v>
      </c>
      <c r="K107" s="5" t="b">
        <f aca="false">TRUE()</f>
        <v>1</v>
      </c>
      <c r="L107" s="5" t="b">
        <f aca="false">TRUE()</f>
        <v>1</v>
      </c>
      <c r="M107" s="5" t="b">
        <f aca="false">FALSE()</f>
        <v>0</v>
      </c>
      <c r="N107" s="1" t="n">
        <f aca="false">LEN(Table1[[#This Row],[effect]])</f>
        <v>326</v>
      </c>
      <c r="O107" s="1" t="str">
        <f aca="false">Table1[[#This Row],[name]]</f>
        <v>Mur de Restriction Mentale</v>
      </c>
    </row>
    <row r="108" s="1" customFormat="true" ht="15" hidden="true" customHeight="false" outlineLevel="0" collapsed="false">
      <c r="A108" s="1" t="s">
        <v>1019</v>
      </c>
      <c r="B108" s="1" t="s">
        <v>1019</v>
      </c>
      <c r="C108" s="1" t="s">
        <v>1019</v>
      </c>
      <c r="D108" s="1" t="s">
        <v>1020</v>
      </c>
      <c r="E108" s="1" t="s">
        <v>1021</v>
      </c>
      <c r="F108" s="1" t="s">
        <v>1022</v>
      </c>
      <c r="I108" s="1" t="s">
        <v>568</v>
      </c>
      <c r="J108" s="1" t="s">
        <v>685</v>
      </c>
      <c r="K108" s="5" t="b">
        <f aca="false">TRUE()</f>
        <v>1</v>
      </c>
      <c r="L108" s="5" t="b">
        <f aca="false">TRUE()</f>
        <v>1</v>
      </c>
      <c r="M108" s="5" t="b">
        <f aca="false">FALSE()</f>
        <v>0</v>
      </c>
      <c r="N108" s="1" t="n">
        <f aca="false">LEN(Table1[[#This Row],[effect]])</f>
        <v>338</v>
      </c>
      <c r="O108" s="1" t="str">
        <f aca="false">Table1[[#This Row],[name]]</f>
        <v>Dilatation Temporelle (Défensive)</v>
      </c>
    </row>
    <row r="109" customFormat="false" ht="15" hidden="true" customHeight="false" outlineLevel="0" collapsed="false">
      <c r="A109" s="4" t="s">
        <v>1023</v>
      </c>
      <c r="B109" s="4" t="s">
        <v>1023</v>
      </c>
      <c r="C109" s="4" t="s">
        <v>1023</v>
      </c>
      <c r="D109" s="4" t="s">
        <v>1024</v>
      </c>
      <c r="E109" s="4" t="s">
        <v>1025</v>
      </c>
      <c r="F109" s="4" t="s">
        <v>1026</v>
      </c>
      <c r="I109" s="4" t="s">
        <v>18</v>
      </c>
      <c r="J109" s="4" t="s">
        <v>625</v>
      </c>
      <c r="K109" s="7" t="b">
        <f aca="false">TRUE()</f>
        <v>1</v>
      </c>
      <c r="L109" s="7" t="b">
        <f aca="false">TRUE()</f>
        <v>1</v>
      </c>
      <c r="M109" s="7" t="b">
        <f aca="false">FALSE()</f>
        <v>0</v>
      </c>
      <c r="N109" s="4" t="n">
        <f aca="false">LEN(Table1[[#This Row],[effect]])</f>
        <v>339</v>
      </c>
      <c r="O109" s="4" t="str">
        <f aca="false">Table1[[#This Row],[name]]</f>
        <v>Détonation (Gravité)</v>
      </c>
    </row>
    <row r="110" s="1" customFormat="true" ht="2202.95" hidden="true" customHeight="false" outlineLevel="0" collapsed="false">
      <c r="A110" s="1" t="s">
        <v>1027</v>
      </c>
      <c r="B110" s="1" t="s">
        <v>1027</v>
      </c>
      <c r="C110" s="1" t="s">
        <v>1027</v>
      </c>
      <c r="D110" s="1" t="s">
        <v>1028</v>
      </c>
      <c r="E110" s="1" t="s">
        <v>1029</v>
      </c>
      <c r="F110" s="1" t="s">
        <v>1030</v>
      </c>
      <c r="H110" s="6" t="s">
        <v>1031</v>
      </c>
      <c r="I110" s="1" t="s">
        <v>568</v>
      </c>
      <c r="J110" s="1" t="s">
        <v>757</v>
      </c>
      <c r="K110" s="5" t="b">
        <f aca="false">TRUE()</f>
        <v>1</v>
      </c>
      <c r="L110" s="5" t="b">
        <f aca="false">TRUE()</f>
        <v>1</v>
      </c>
      <c r="M110" s="5" t="b">
        <f aca="false">FALSE()</f>
        <v>0</v>
      </c>
      <c r="N110" s="1" t="n">
        <f aca="false">LEN(Table1[[#This Row],[effect]])</f>
        <v>342</v>
      </c>
      <c r="O110" s="1" t="str">
        <f aca="false">Table1[[#This Row],[name]]</f>
        <v>Projecteur d'Image</v>
      </c>
    </row>
    <row r="111" customFormat="false" ht="15" hidden="true" customHeight="false" outlineLevel="0" collapsed="false">
      <c r="A111" s="4" t="s">
        <v>1032</v>
      </c>
      <c r="B111" s="4" t="s">
        <v>1032</v>
      </c>
      <c r="C111" s="4" t="s">
        <v>1032</v>
      </c>
      <c r="D111" s="4" t="s">
        <v>1033</v>
      </c>
      <c r="E111" s="4" t="s">
        <v>1034</v>
      </c>
      <c r="F111" s="4" t="s">
        <v>1035</v>
      </c>
      <c r="I111" s="4" t="s">
        <v>18</v>
      </c>
      <c r="J111" s="4" t="s">
        <v>625</v>
      </c>
      <c r="K111" s="7" t="b">
        <f aca="false">TRUE()</f>
        <v>1</v>
      </c>
      <c r="L111" s="7" t="b">
        <f aca="false">FALSE()</f>
        <v>0</v>
      </c>
      <c r="M111" s="7" t="b">
        <f aca="false">FALSE()</f>
        <v>0</v>
      </c>
      <c r="N111" s="4" t="n">
        <f aca="false">LEN(Table1[[#This Row],[effect]])</f>
        <v>345</v>
      </c>
      <c r="O111" s="4" t="str">
        <f aca="false">Table1[[#This Row],[name]]</f>
        <v>Détonation (Toile)</v>
      </c>
    </row>
    <row r="112" s="1" customFormat="true" ht="15" hidden="true" customHeight="false" outlineLevel="0" collapsed="false">
      <c r="A112" s="1" t="s">
        <v>1036</v>
      </c>
      <c r="B112" s="1" t="s">
        <v>1036</v>
      </c>
      <c r="C112" s="1" t="s">
        <v>1036</v>
      </c>
      <c r="D112" s="1" t="s">
        <v>1037</v>
      </c>
      <c r="E112" s="1" t="s">
        <v>1038</v>
      </c>
      <c r="F112" s="1" t="s">
        <v>1039</v>
      </c>
      <c r="I112" s="1" t="s">
        <v>568</v>
      </c>
      <c r="J112" s="1" t="s">
        <v>685</v>
      </c>
      <c r="K112" s="5" t="b">
        <f aca="false">FALSE()</f>
        <v>0</v>
      </c>
      <c r="L112" s="5" t="b">
        <f aca="false">TRUE()</f>
        <v>1</v>
      </c>
      <c r="M112" s="5" t="b">
        <f aca="false">FALSE()</f>
        <v>0</v>
      </c>
      <c r="N112" s="1" t="n">
        <f aca="false">LEN(Table1[[#This Row],[effect]])</f>
        <v>346</v>
      </c>
      <c r="O112" s="1" t="str">
        <f aca="false">Table1[[#This Row],[name]]</f>
        <v>Intégrateur de Tours</v>
      </c>
    </row>
    <row r="113" s="1" customFormat="true" ht="15" hidden="true" customHeight="false" outlineLevel="0" collapsed="false">
      <c r="A113" s="1" t="s">
        <v>1040</v>
      </c>
      <c r="B113" s="1" t="s">
        <v>1040</v>
      </c>
      <c r="C113" s="1" t="s">
        <v>1040</v>
      </c>
      <c r="D113" s="1" t="s">
        <v>1041</v>
      </c>
      <c r="E113" s="1" t="s">
        <v>1042</v>
      </c>
      <c r="F113" s="1" t="s">
        <v>1043</v>
      </c>
      <c r="I113" s="1" t="s">
        <v>568</v>
      </c>
      <c r="J113" s="1" t="s">
        <v>605</v>
      </c>
      <c r="K113" s="5" t="b">
        <f aca="false">FALSE()</f>
        <v>0</v>
      </c>
      <c r="L113" s="5" t="b">
        <f aca="false">FALSE()</f>
        <v>0</v>
      </c>
      <c r="M113" s="5" t="b">
        <f aca="false">TRUE()</f>
        <v>1</v>
      </c>
      <c r="N113" s="1" t="n">
        <f aca="false">LEN(Table1[[#This Row],[effect]])</f>
        <v>349</v>
      </c>
      <c r="O113" s="1" t="str">
        <f aca="false">Table1[[#This Row],[name]]</f>
        <v>Amplificateur d'Effort (Non-combat)</v>
      </c>
    </row>
    <row r="114" s="1" customFormat="true" ht="15" hidden="true" customHeight="false" outlineLevel="0" collapsed="false">
      <c r="A114" s="1" t="s">
        <v>1044</v>
      </c>
      <c r="B114" s="1" t="s">
        <v>1044</v>
      </c>
      <c r="C114" s="1" t="s">
        <v>1044</v>
      </c>
      <c r="D114" s="1" t="s">
        <v>1045</v>
      </c>
      <c r="E114" s="1" t="s">
        <v>1046</v>
      </c>
      <c r="F114" s="1" t="s">
        <v>1047</v>
      </c>
      <c r="I114" s="1" t="s">
        <v>568</v>
      </c>
      <c r="J114" s="1" t="s">
        <v>574</v>
      </c>
      <c r="K114" s="5" t="b">
        <f aca="false">FALSE()</f>
        <v>0</v>
      </c>
      <c r="L114" s="5" t="b">
        <f aca="false">FALSE()</f>
        <v>0</v>
      </c>
      <c r="M114" s="5" t="b">
        <f aca="false">TRUE()</f>
        <v>1</v>
      </c>
      <c r="N114" s="1" t="n">
        <f aca="false">LEN(Table1[[#This Row],[effect]])</f>
        <v>356</v>
      </c>
      <c r="O114" s="1" t="str">
        <f aca="false">Table1[[#This Row],[name]]</f>
        <v>Mémoire Parfaite</v>
      </c>
    </row>
    <row r="115" s="1" customFormat="true" ht="15" hidden="true" customHeight="false" outlineLevel="0" collapsed="false">
      <c r="A115" s="1" t="s">
        <v>1048</v>
      </c>
      <c r="B115" s="1" t="s">
        <v>1048</v>
      </c>
      <c r="C115" s="1" t="s">
        <v>1048</v>
      </c>
      <c r="D115" s="1" t="s">
        <v>1049</v>
      </c>
      <c r="E115" s="1" t="s">
        <v>1050</v>
      </c>
      <c r="F115" s="1" t="s">
        <v>1051</v>
      </c>
      <c r="I115" s="1" t="s">
        <v>568</v>
      </c>
      <c r="J115" s="1" t="s">
        <v>685</v>
      </c>
      <c r="K115" s="5" t="b">
        <f aca="false">TRUE()</f>
        <v>1</v>
      </c>
      <c r="L115" s="5" t="b">
        <f aca="false">FALSE()</f>
        <v>0</v>
      </c>
      <c r="M115" s="5" t="b">
        <f aca="false">FALSE()</f>
        <v>0</v>
      </c>
      <c r="N115" s="1" t="n">
        <f aca="false">LEN(Table1[[#This Row],[effect]])</f>
        <v>356</v>
      </c>
      <c r="O115" s="1" t="str">
        <f aca="false">Table1[[#This Row],[name]]</f>
        <v>Traceur</v>
      </c>
    </row>
    <row r="116" s="1" customFormat="true" ht="15" hidden="true" customHeight="false" outlineLevel="0" collapsed="false">
      <c r="A116" s="1" t="s">
        <v>1052</v>
      </c>
      <c r="B116" s="1" t="s">
        <v>1052</v>
      </c>
      <c r="C116" s="1" t="s">
        <v>1052</v>
      </c>
      <c r="D116" s="1" t="s">
        <v>1053</v>
      </c>
      <c r="E116" s="1" t="s">
        <v>1054</v>
      </c>
      <c r="F116" s="1" t="s">
        <v>1055</v>
      </c>
      <c r="I116" s="1" t="s">
        <v>18</v>
      </c>
      <c r="J116" s="1" t="s">
        <v>615</v>
      </c>
      <c r="K116" s="5" t="b">
        <f aca="false">TRUE()</f>
        <v>1</v>
      </c>
      <c r="L116" s="5" t="b">
        <f aca="false">TRUE()</f>
        <v>1</v>
      </c>
      <c r="M116" s="5" t="b">
        <f aca="false">FALSE()</f>
        <v>0</v>
      </c>
      <c r="N116" s="1" t="n">
        <f aca="false">LEN(Table1[[#This Row],[effect]])</f>
        <v>360</v>
      </c>
      <c r="O116" s="1" t="str">
        <f aca="false">Table1[[#This Row],[name]]</f>
        <v>Disrupteur de Phase</v>
      </c>
    </row>
    <row r="117" s="1" customFormat="true" ht="15" hidden="true" customHeight="false" outlineLevel="0" collapsed="false">
      <c r="A117" s="1" t="s">
        <v>1056</v>
      </c>
      <c r="B117" s="1" t="s">
        <v>1056</v>
      </c>
      <c r="C117" s="1" t="s">
        <v>1056</v>
      </c>
      <c r="D117" s="1" t="s">
        <v>1057</v>
      </c>
      <c r="E117" s="1" t="s">
        <v>1058</v>
      </c>
      <c r="F117" s="1" t="s">
        <v>1059</v>
      </c>
      <c r="I117" s="1" t="s">
        <v>18</v>
      </c>
      <c r="J117" s="1" t="s">
        <v>609</v>
      </c>
      <c r="K117" s="5" t="b">
        <f aca="false">TRUE()</f>
        <v>1</v>
      </c>
      <c r="L117" s="5" t="b">
        <f aca="false">TRUE()</f>
        <v>1</v>
      </c>
      <c r="M117" s="5" t="b">
        <f aca="false">FALSE()</f>
        <v>0</v>
      </c>
      <c r="N117" s="1" t="n">
        <f aca="false">LEN(Table1[[#This Row],[effect]])</f>
        <v>366</v>
      </c>
      <c r="O117" s="1" t="str">
        <f aca="false">Table1[[#This Row],[name]]</f>
        <v>Clignotement Contrôlé</v>
      </c>
    </row>
    <row r="118" s="1" customFormat="true" ht="15" hidden="true" customHeight="false" outlineLevel="0" collapsed="false">
      <c r="A118" s="1" t="s">
        <v>1060</v>
      </c>
      <c r="B118" s="1" t="s">
        <v>1060</v>
      </c>
      <c r="C118" s="1" t="s">
        <v>1060</v>
      </c>
      <c r="D118" s="1" t="s">
        <v>1061</v>
      </c>
      <c r="E118" s="1" t="s">
        <v>1062</v>
      </c>
      <c r="F118" s="1" t="s">
        <v>1063</v>
      </c>
      <c r="I118" s="1" t="s">
        <v>568</v>
      </c>
      <c r="J118" s="1" t="s">
        <v>605</v>
      </c>
      <c r="K118" s="5" t="b">
        <f aca="false">TRUE()</f>
        <v>1</v>
      </c>
      <c r="L118" s="5" t="b">
        <f aca="false">TRUE()</f>
        <v>1</v>
      </c>
      <c r="M118" s="5" t="b">
        <f aca="false">FALSE()</f>
        <v>0</v>
      </c>
      <c r="N118" s="1" t="n">
        <f aca="false">LEN(Table1[[#This Row],[effect]])</f>
        <v>369</v>
      </c>
      <c r="O118" s="1" t="str">
        <f aca="false">Table1[[#This Row],[name]]</f>
        <v>Perturbation</v>
      </c>
    </row>
    <row r="119" s="1" customFormat="true" ht="15" hidden="true" customHeight="false" outlineLevel="0" collapsed="false">
      <c r="A119" s="1" t="s">
        <v>1064</v>
      </c>
      <c r="B119" s="1" t="s">
        <v>1064</v>
      </c>
      <c r="C119" s="1" t="s">
        <v>1064</v>
      </c>
      <c r="D119" s="1" t="s">
        <v>1065</v>
      </c>
      <c r="E119" s="1" t="s">
        <v>1066</v>
      </c>
      <c r="F119" s="1" t="s">
        <v>1067</v>
      </c>
      <c r="I119" s="1" t="s">
        <v>710</v>
      </c>
      <c r="J119" s="1" t="s">
        <v>574</v>
      </c>
      <c r="K119" s="5" t="b">
        <f aca="false">TRUE()</f>
        <v>1</v>
      </c>
      <c r="L119" s="5" t="b">
        <f aca="false">TRUE()</f>
        <v>1</v>
      </c>
      <c r="M119" s="5" t="b">
        <f aca="false">FALSE()</f>
        <v>0</v>
      </c>
      <c r="N119" s="1" t="n">
        <f aca="false">LEN(Table1[[#This Row],[effect]])</f>
        <v>370</v>
      </c>
      <c r="O119" s="1" t="str">
        <f aca="false">Table1[[#This Row],[name]]</f>
        <v>Monocorne</v>
      </c>
    </row>
    <row r="120" s="1" customFormat="true" ht="15" hidden="true" customHeight="false" outlineLevel="0" collapsed="false">
      <c r="A120" s="1" t="s">
        <v>1068</v>
      </c>
      <c r="B120" s="1" t="s">
        <v>1068</v>
      </c>
      <c r="C120" s="1" t="s">
        <v>1068</v>
      </c>
      <c r="D120" s="1" t="s">
        <v>1069</v>
      </c>
      <c r="E120" s="1" t="s">
        <v>1070</v>
      </c>
      <c r="F120" s="1" t="s">
        <v>1071</v>
      </c>
      <c r="I120" s="1" t="s">
        <v>710</v>
      </c>
      <c r="J120" s="1" t="s">
        <v>605</v>
      </c>
      <c r="K120" s="5" t="b">
        <f aca="false">TRUE()</f>
        <v>1</v>
      </c>
      <c r="L120" s="5" t="b">
        <f aca="false">TRUE()</f>
        <v>1</v>
      </c>
      <c r="M120" s="5" t="b">
        <f aca="false">FALSE()</f>
        <v>0</v>
      </c>
      <c r="N120" s="1" t="n">
        <f aca="false">LEN(Table1[[#This Row],[effect]])</f>
        <v>377</v>
      </c>
      <c r="O120" s="1" t="str">
        <f aca="false">Table1[[#This Row],[name]]</f>
        <v>Cube de Force</v>
      </c>
    </row>
    <row r="121" s="1" customFormat="true" ht="15" hidden="true" customHeight="false" outlineLevel="0" collapsed="false">
      <c r="A121" s="1" t="s">
        <v>1072</v>
      </c>
      <c r="B121" s="1" t="s">
        <v>1072</v>
      </c>
      <c r="C121" s="1" t="s">
        <v>1072</v>
      </c>
      <c r="D121" s="1" t="s">
        <v>1073</v>
      </c>
      <c r="E121" s="1" t="s">
        <v>1074</v>
      </c>
      <c r="F121" s="1" t="s">
        <v>1075</v>
      </c>
      <c r="I121" s="1" t="s">
        <v>568</v>
      </c>
      <c r="J121" s="1" t="s">
        <v>636</v>
      </c>
      <c r="K121" s="5" t="b">
        <f aca="false">TRUE()</f>
        <v>1</v>
      </c>
      <c r="L121" s="5" t="b">
        <f aca="false">TRUE()</f>
        <v>1</v>
      </c>
      <c r="M121" s="5" t="b">
        <f aca="false">FALSE()</f>
        <v>0</v>
      </c>
      <c r="N121" s="1" t="n">
        <f aca="false">LEN(Table1[[#This Row],[effect]])</f>
        <v>378</v>
      </c>
      <c r="O121" s="1" t="str">
        <f aca="false">Table1[[#This Row],[name]]</f>
        <v>Serviteur Instantané</v>
      </c>
    </row>
    <row r="122" s="1" customFormat="true" ht="15" hidden="true" customHeight="false" outlineLevel="0" collapsed="false">
      <c r="A122" s="1" t="s">
        <v>1076</v>
      </c>
      <c r="B122" s="1" t="s">
        <v>1076</v>
      </c>
      <c r="C122" s="1" t="s">
        <v>1076</v>
      </c>
      <c r="D122" s="1" t="s">
        <v>1077</v>
      </c>
      <c r="E122" s="1" t="s">
        <v>1078</v>
      </c>
      <c r="F122" s="1" t="s">
        <v>1079</v>
      </c>
      <c r="I122" s="1" t="s">
        <v>568</v>
      </c>
      <c r="J122" s="1" t="s">
        <v>658</v>
      </c>
      <c r="K122" s="5" t="b">
        <f aca="false">TRUE()</f>
        <v>1</v>
      </c>
      <c r="L122" s="5" t="b">
        <f aca="false">TRUE()</f>
        <v>1</v>
      </c>
      <c r="M122" s="5" t="b">
        <f aca="false">FALSE()</f>
        <v>0</v>
      </c>
      <c r="N122" s="1" t="n">
        <f aca="false">LEN(Table1[[#This Row],[effect]])</f>
        <v>381</v>
      </c>
      <c r="O122" s="1" t="str">
        <f aca="false">Table1[[#This Row],[name]]</f>
        <v>Attaque Electrique</v>
      </c>
    </row>
    <row r="123" s="1" customFormat="true" ht="15" hidden="true" customHeight="false" outlineLevel="0" collapsed="false">
      <c r="A123" s="1" t="s">
        <v>1080</v>
      </c>
      <c r="B123" s="1" t="s">
        <v>1080</v>
      </c>
      <c r="C123" s="1" t="s">
        <v>1080</v>
      </c>
      <c r="D123" s="1" t="s">
        <v>1081</v>
      </c>
      <c r="E123" s="1" t="s">
        <v>1082</v>
      </c>
      <c r="F123" s="1" t="s">
        <v>1083</v>
      </c>
      <c r="I123" s="1" t="s">
        <v>568</v>
      </c>
      <c r="J123" s="1" t="s">
        <v>636</v>
      </c>
      <c r="K123" s="5" t="b">
        <f aca="false">FALSE()</f>
        <v>0</v>
      </c>
      <c r="L123" s="5" t="b">
        <f aca="false">FALSE()</f>
        <v>0</v>
      </c>
      <c r="M123" s="5" t="b">
        <f aca="false">TRUE()</f>
        <v>1</v>
      </c>
      <c r="N123" s="1" t="n">
        <f aca="false">LEN(Table1[[#This Row],[effect]])</f>
        <v>381</v>
      </c>
      <c r="O123" s="1" t="str">
        <f aca="false">Table1[[#This Row],[name]]</f>
        <v>Amélioration de l'Intelligence</v>
      </c>
    </row>
    <row r="124" s="1" customFormat="true" ht="15" hidden="true" customHeight="false" outlineLevel="0" collapsed="false">
      <c r="A124" s="1" t="s">
        <v>1084</v>
      </c>
      <c r="B124" s="1" t="s">
        <v>1084</v>
      </c>
      <c r="C124" s="1" t="s">
        <v>1084</v>
      </c>
      <c r="D124" s="1" t="s">
        <v>1085</v>
      </c>
      <c r="E124" s="1" t="s">
        <v>1086</v>
      </c>
      <c r="F124" s="1" t="s">
        <v>1087</v>
      </c>
      <c r="I124" s="1" t="s">
        <v>604</v>
      </c>
      <c r="J124" s="1" t="s">
        <v>631</v>
      </c>
      <c r="K124" s="5" t="b">
        <f aca="false">TRUE()</f>
        <v>1</v>
      </c>
      <c r="L124" s="5" t="b">
        <f aca="false">TRUE()</f>
        <v>1</v>
      </c>
      <c r="M124" s="5" t="b">
        <f aca="false">FALSE()</f>
        <v>0</v>
      </c>
      <c r="N124" s="1" t="n">
        <f aca="false">LEN(Table1[[#This Row],[effect]])</f>
        <v>382</v>
      </c>
      <c r="O124" s="1" t="str">
        <f aca="false">Table1[[#This Row],[name]]</f>
        <v>Distorsion Spatiale</v>
      </c>
    </row>
    <row r="125" s="1" customFormat="true" ht="2055.95" hidden="true" customHeight="false" outlineLevel="0" collapsed="false">
      <c r="A125" s="1" t="s">
        <v>1088</v>
      </c>
      <c r="B125" s="1" t="s">
        <v>1088</v>
      </c>
      <c r="C125" s="1" t="s">
        <v>1088</v>
      </c>
      <c r="D125" s="1" t="s">
        <v>1089</v>
      </c>
      <c r="E125" s="1" t="s">
        <v>1090</v>
      </c>
      <c r="F125" s="1" t="s">
        <v>1091</v>
      </c>
      <c r="H125" s="6" t="s">
        <v>1092</v>
      </c>
      <c r="I125" s="1" t="s">
        <v>568</v>
      </c>
      <c r="J125" s="1" t="s">
        <v>757</v>
      </c>
      <c r="K125" s="5" t="b">
        <f aca="false">TRUE()</f>
        <v>1</v>
      </c>
      <c r="L125" s="5" t="b">
        <f aca="false">FALSE()</f>
        <v>0</v>
      </c>
      <c r="M125" s="5" t="b">
        <f aca="false">FALSE()</f>
        <v>0</v>
      </c>
      <c r="N125" s="1" t="n">
        <f aca="false">LEN(Table1[[#This Row],[effect]])</f>
        <v>384</v>
      </c>
      <c r="O125" s="1" t="str">
        <f aca="false">Table1[[#This Row],[name]]</f>
        <v>Chasseur/Traqueur</v>
      </c>
    </row>
    <row r="126" s="1" customFormat="true" ht="15" hidden="true" customHeight="false" outlineLevel="0" collapsed="false">
      <c r="A126" s="1" t="s">
        <v>1093</v>
      </c>
      <c r="B126" s="1" t="s">
        <v>1093</v>
      </c>
      <c r="C126" s="1" t="s">
        <v>1093</v>
      </c>
      <c r="D126" s="1" t="s">
        <v>1094</v>
      </c>
      <c r="E126" s="1" t="s">
        <v>1095</v>
      </c>
      <c r="F126" s="1" t="s">
        <v>1096</v>
      </c>
      <c r="I126" s="1" t="s">
        <v>624</v>
      </c>
      <c r="J126" s="1" t="s">
        <v>605</v>
      </c>
      <c r="K126" s="5" t="b">
        <f aca="false">FALSE()</f>
        <v>0</v>
      </c>
      <c r="L126" s="5" t="b">
        <f aca="false">FALSE()</f>
        <v>0</v>
      </c>
      <c r="M126" s="5" t="b">
        <f aca="false">TRUE()</f>
        <v>1</v>
      </c>
      <c r="N126" s="1" t="n">
        <f aca="false">LEN(Table1[[#This Row],[effect]])</f>
        <v>391</v>
      </c>
      <c r="O126" s="1" t="str">
        <f aca="false">Table1[[#This Row],[name]]</f>
        <v>Amplificateur d'Effort (Combat)</v>
      </c>
    </row>
    <row r="127" customFormat="false" ht="15" hidden="true" customHeight="false" outlineLevel="0" collapsed="false">
      <c r="A127" s="4" t="s">
        <v>1097</v>
      </c>
      <c r="B127" s="4" t="s">
        <v>1097</v>
      </c>
      <c r="C127" s="4" t="s">
        <v>1097</v>
      </c>
      <c r="D127" s="4" t="s">
        <v>1098</v>
      </c>
      <c r="E127" s="4" t="s">
        <v>1099</v>
      </c>
      <c r="F127" s="4" t="s">
        <v>1100</v>
      </c>
      <c r="I127" s="4" t="n">
        <v>10</v>
      </c>
      <c r="J127" s="4" t="s">
        <v>625</v>
      </c>
      <c r="K127" s="7" t="b">
        <f aca="false">TRUE()</f>
        <v>1</v>
      </c>
      <c r="L127" s="7" t="b">
        <f aca="false">TRUE()</f>
        <v>1</v>
      </c>
      <c r="M127" s="7" t="b">
        <f aca="false">FALSE()</f>
        <v>0</v>
      </c>
      <c r="N127" s="4" t="n">
        <f aca="false">LEN(Table1[[#This Row],[effect]])</f>
        <v>403</v>
      </c>
      <c r="O127" s="4" t="str">
        <f aca="false">Table1[[#This Row],[name]]</f>
        <v>Détonation (Singularité)</v>
      </c>
    </row>
    <row r="128" s="1" customFormat="true" ht="15" hidden="true" customHeight="false" outlineLevel="0" collapsed="false">
      <c r="A128" s="1" t="s">
        <v>1101</v>
      </c>
      <c r="B128" s="1" t="s">
        <v>1101</v>
      </c>
      <c r="C128" s="1" t="s">
        <v>1101</v>
      </c>
      <c r="D128" s="1" t="s">
        <v>1102</v>
      </c>
      <c r="E128" s="1" t="s">
        <v>1103</v>
      </c>
      <c r="F128" s="1" t="s">
        <v>1104</v>
      </c>
      <c r="I128" s="1" t="s">
        <v>18</v>
      </c>
      <c r="J128" s="1" t="s">
        <v>636</v>
      </c>
      <c r="K128" s="5" t="b">
        <f aca="false">TRUE()</f>
        <v>1</v>
      </c>
      <c r="L128" s="5" t="b">
        <f aca="false">FALSE()</f>
        <v>0</v>
      </c>
      <c r="M128" s="5" t="b">
        <f aca="false">FALSE()</f>
        <v>0</v>
      </c>
      <c r="N128" s="1" t="n">
        <f aca="false">LEN(Table1[[#This Row],[effect]])</f>
        <v>403</v>
      </c>
      <c r="O128" s="1" t="str">
        <f aca="false">Table1[[#This Row],[name]]</f>
        <v>Capteur d'Information</v>
      </c>
    </row>
    <row r="129" s="1" customFormat="true" ht="15" hidden="true" customHeight="false" outlineLevel="0" collapsed="false">
      <c r="A129" s="1" t="s">
        <v>1105</v>
      </c>
      <c r="B129" s="1" t="s">
        <v>1105</v>
      </c>
      <c r="C129" s="1" t="s">
        <v>1105</v>
      </c>
      <c r="D129" s="1" t="s">
        <v>1106</v>
      </c>
      <c r="E129" s="1" t="s">
        <v>1107</v>
      </c>
      <c r="F129" s="1" t="s">
        <v>1108</v>
      </c>
      <c r="I129" s="1" t="s">
        <v>18</v>
      </c>
      <c r="J129" s="1" t="s">
        <v>590</v>
      </c>
      <c r="K129" s="5" t="b">
        <f aca="false">TRUE()</f>
        <v>1</v>
      </c>
      <c r="L129" s="5" t="b">
        <f aca="false">TRUE()</f>
        <v>1</v>
      </c>
      <c r="M129" s="5" t="b">
        <f aca="false">FALSE()</f>
        <v>0</v>
      </c>
      <c r="N129" s="1" t="n">
        <f aca="false">LEN(Table1[[#This Row],[effect]])</f>
        <v>406</v>
      </c>
      <c r="O129" s="1" t="str">
        <f aca="false">Table1[[#This Row],[name]]</f>
        <v>Maître Magnétique</v>
      </c>
    </row>
    <row r="130" s="1" customFormat="true" ht="15" hidden="true" customHeight="false" outlineLevel="0" collapsed="false">
      <c r="A130" s="1" t="s">
        <v>1109</v>
      </c>
      <c r="B130" s="1" t="s">
        <v>1109</v>
      </c>
      <c r="C130" s="1" t="s">
        <v>1109</v>
      </c>
      <c r="D130" s="1" t="s">
        <v>1110</v>
      </c>
      <c r="E130" s="1" t="s">
        <v>1111</v>
      </c>
      <c r="F130" s="1" t="s">
        <v>1112</v>
      </c>
      <c r="I130" s="1" t="s">
        <v>568</v>
      </c>
      <c r="J130" s="1" t="s">
        <v>595</v>
      </c>
      <c r="K130" s="5" t="b">
        <f aca="false">TRUE()</f>
        <v>1</v>
      </c>
      <c r="L130" s="5" t="b">
        <f aca="false">FALSE()</f>
        <v>0</v>
      </c>
      <c r="M130" s="5" t="b">
        <f aca="false">FALSE()</f>
        <v>0</v>
      </c>
      <c r="N130" s="1" t="n">
        <f aca="false">LEN(Table1[[#This Row],[effect]])</f>
        <v>415</v>
      </c>
      <c r="O130" s="1" t="str">
        <f aca="false">Table1[[#This Row],[name]]</f>
        <v>Adaptateur Aquatique</v>
      </c>
    </row>
    <row r="131" s="1" customFormat="true" ht="15" hidden="true" customHeight="false" outlineLevel="0" collapsed="false">
      <c r="A131" s="1" t="s">
        <v>1113</v>
      </c>
      <c r="B131" s="1" t="s">
        <v>1113</v>
      </c>
      <c r="C131" s="1" t="s">
        <v>1113</v>
      </c>
      <c r="D131" s="1" t="s">
        <v>1114</v>
      </c>
      <c r="E131" s="1" t="s">
        <v>1115</v>
      </c>
      <c r="F131" s="1" t="s">
        <v>1116</v>
      </c>
      <c r="I131" s="1" t="s">
        <v>710</v>
      </c>
      <c r="J131" s="1" t="s">
        <v>636</v>
      </c>
      <c r="K131" s="5" t="b">
        <f aca="false">TRUE()</f>
        <v>1</v>
      </c>
      <c r="L131" s="5" t="b">
        <f aca="false">TRUE()</f>
        <v>1</v>
      </c>
      <c r="M131" s="5" t="b">
        <f aca="false">FALSE()</f>
        <v>0</v>
      </c>
      <c r="N131" s="1" t="n">
        <f aca="false">LEN(Table1[[#This Row],[effect]])</f>
        <v>417</v>
      </c>
      <c r="O131" s="1" t="str">
        <f aca="false">Table1[[#This Row],[name]]</f>
        <v>Abri Instantané</v>
      </c>
    </row>
    <row r="132" s="1" customFormat="true" ht="15" hidden="true" customHeight="false" outlineLevel="0" collapsed="false">
      <c r="A132" s="1" t="s">
        <v>1117</v>
      </c>
      <c r="B132" s="1" t="s">
        <v>1117</v>
      </c>
      <c r="C132" s="1" t="s">
        <v>1117</v>
      </c>
      <c r="D132" s="1" t="s">
        <v>1118</v>
      </c>
      <c r="E132" s="1" t="s">
        <v>1119</v>
      </c>
      <c r="F132" s="1" t="s">
        <v>1120</v>
      </c>
      <c r="I132" s="1" t="s">
        <v>568</v>
      </c>
      <c r="J132" s="1" t="s">
        <v>578</v>
      </c>
      <c r="K132" s="5" t="b">
        <f aca="false">TRUE()</f>
        <v>1</v>
      </c>
      <c r="L132" s="5" t="b">
        <f aca="false">TRUE()</f>
        <v>1</v>
      </c>
      <c r="M132" s="5" t="b">
        <f aca="false">FALSE()</f>
        <v>0</v>
      </c>
      <c r="N132" s="1" t="n">
        <f aca="false">LEN(Table1[[#This Row],[effect]])</f>
        <v>418</v>
      </c>
      <c r="O132" s="1" t="str">
        <f aca="false">Table1[[#This Row],[name]]</f>
        <v>Clignotement</v>
      </c>
    </row>
    <row r="133" s="1" customFormat="true" ht="15" hidden="true" customHeight="false" outlineLevel="0" collapsed="false">
      <c r="A133" s="1" t="s">
        <v>1121</v>
      </c>
      <c r="B133" s="1" t="s">
        <v>1121</v>
      </c>
      <c r="C133" s="1" t="s">
        <v>1121</v>
      </c>
      <c r="D133" s="1" t="s">
        <v>1122</v>
      </c>
      <c r="E133" s="1" t="s">
        <v>1123</v>
      </c>
      <c r="F133" s="1" t="s">
        <v>1124</v>
      </c>
      <c r="I133" s="1" t="s">
        <v>630</v>
      </c>
      <c r="J133" s="1" t="s">
        <v>658</v>
      </c>
      <c r="K133" s="5" t="b">
        <f aca="false">TRUE()</f>
        <v>1</v>
      </c>
      <c r="L133" s="5" t="b">
        <f aca="false">TRUE()</f>
        <v>1</v>
      </c>
      <c r="M133" s="5" t="b">
        <f aca="false">FALSE()</f>
        <v>0</v>
      </c>
      <c r="N133" s="1" t="n">
        <f aca="false">LEN(Table1[[#This Row],[effect]])</f>
        <v>419</v>
      </c>
      <c r="O133" s="1" t="str">
        <f aca="false">Table1[[#This Row],[name]]</f>
        <v>Unité de Réparation</v>
      </c>
    </row>
    <row r="134" s="1" customFormat="true" ht="15" hidden="true" customHeight="false" outlineLevel="0" collapsed="false">
      <c r="A134" s="1" t="s">
        <v>1125</v>
      </c>
      <c r="B134" s="1" t="s">
        <v>1125</v>
      </c>
      <c r="C134" s="1" t="s">
        <v>1125</v>
      </c>
      <c r="D134" s="1" t="s">
        <v>1126</v>
      </c>
      <c r="E134" s="1" t="s">
        <v>527</v>
      </c>
      <c r="F134" s="1" t="s">
        <v>1127</v>
      </c>
      <c r="I134" s="1" t="s">
        <v>604</v>
      </c>
      <c r="J134" s="1" t="s">
        <v>685</v>
      </c>
      <c r="K134" s="5" t="b">
        <f aca="false">TRUE()</f>
        <v>1</v>
      </c>
      <c r="L134" s="5" t="b">
        <f aca="false">FALSE()</f>
        <v>0</v>
      </c>
      <c r="M134" s="5" t="b">
        <f aca="false">FALSE()</f>
        <v>0</v>
      </c>
      <c r="N134" s="1" t="n">
        <f aca="false">LEN(Table1[[#This Row],[effect]])</f>
        <v>419</v>
      </c>
      <c r="O134" s="1" t="str">
        <f aca="false">Table1[[#This Row],[name]]</f>
        <v>Source d'Energie Ininterruptible</v>
      </c>
    </row>
    <row r="135" s="1" customFormat="true" ht="15" hidden="true" customHeight="false" outlineLevel="0" collapsed="false">
      <c r="A135" s="1" t="s">
        <v>1128</v>
      </c>
      <c r="B135" s="1" t="s">
        <v>1128</v>
      </c>
      <c r="C135" s="1" t="s">
        <v>1128</v>
      </c>
      <c r="D135" s="1" t="s">
        <v>1129</v>
      </c>
      <c r="E135" s="1" t="s">
        <v>1129</v>
      </c>
      <c r="F135" s="1" t="s">
        <v>1130</v>
      </c>
      <c r="I135" s="1" t="s">
        <v>18</v>
      </c>
      <c r="J135" s="1" t="s">
        <v>599</v>
      </c>
      <c r="K135" s="5" t="b">
        <f aca="false">TRUE()</f>
        <v>1</v>
      </c>
      <c r="L135" s="5" t="b">
        <f aca="false">FALSE()</f>
        <v>0</v>
      </c>
      <c r="M135" s="5" t="b">
        <f aca="false">FALSE()</f>
        <v>0</v>
      </c>
      <c r="N135" s="1" t="n">
        <f aca="false">LEN(Table1[[#This Row],[effect]])</f>
        <v>422</v>
      </c>
      <c r="O135" s="1" t="str">
        <f aca="false">Table1[[#This Row],[name]]</f>
        <v>Blackout</v>
      </c>
    </row>
    <row r="136" s="1" customFormat="true" ht="15" hidden="true" customHeight="false" outlineLevel="0" collapsed="false">
      <c r="A136" s="1" t="s">
        <v>1131</v>
      </c>
      <c r="B136" s="1" t="s">
        <v>1131</v>
      </c>
      <c r="C136" s="1" t="s">
        <v>1131</v>
      </c>
      <c r="D136" s="1" t="s">
        <v>1132</v>
      </c>
      <c r="E136" s="1" t="s">
        <v>1133</v>
      </c>
      <c r="F136" s="1" t="s">
        <v>1134</v>
      </c>
      <c r="I136" s="1" t="s">
        <v>568</v>
      </c>
      <c r="J136" s="1" t="s">
        <v>599</v>
      </c>
      <c r="K136" s="5" t="b">
        <f aca="false">TRUE()</f>
        <v>1</v>
      </c>
      <c r="L136" s="5" t="b">
        <f aca="false">TRUE()</f>
        <v>1</v>
      </c>
      <c r="M136" s="5" t="b">
        <f aca="false">FALSE()</f>
        <v>0</v>
      </c>
      <c r="N136" s="1" t="n">
        <f aca="false">LEN(Table1[[#This Row],[effect]])</f>
        <v>423</v>
      </c>
      <c r="O136" s="1" t="str">
        <f aca="false">Table1[[#This Row],[name]]</f>
        <v>Bannissement</v>
      </c>
    </row>
    <row r="137" s="1" customFormat="true" ht="15" hidden="true" customHeight="false" outlineLevel="0" collapsed="false">
      <c r="A137" s="1" t="s">
        <v>1135</v>
      </c>
      <c r="B137" s="1" t="s">
        <v>1135</v>
      </c>
      <c r="C137" s="1" t="s">
        <v>1135</v>
      </c>
      <c r="D137" s="1" t="s">
        <v>1136</v>
      </c>
      <c r="E137" s="1" t="s">
        <v>1137</v>
      </c>
      <c r="F137" s="1" t="s">
        <v>1138</v>
      </c>
      <c r="I137" s="1" t="s">
        <v>624</v>
      </c>
      <c r="J137" s="1" t="s">
        <v>578</v>
      </c>
      <c r="K137" s="5" t="b">
        <f aca="false">TRUE()</f>
        <v>1</v>
      </c>
      <c r="L137" s="5" t="b">
        <f aca="false">TRUE()</f>
        <v>1</v>
      </c>
      <c r="M137" s="5" t="b">
        <f aca="false">FALSE()</f>
        <v>0</v>
      </c>
      <c r="N137" s="1" t="n">
        <f aca="false">LEN(Table1[[#This Row],[effect]])</f>
        <v>427</v>
      </c>
      <c r="O137" s="1" t="str">
        <f aca="false">Table1[[#This Row],[name]]</f>
        <v>Compréhension</v>
      </c>
    </row>
    <row r="138" s="1" customFormat="true" ht="15" hidden="true" customHeight="false" outlineLevel="0" collapsed="false">
      <c r="A138" s="1" t="s">
        <v>1139</v>
      </c>
      <c r="B138" s="1" t="s">
        <v>1139</v>
      </c>
      <c r="C138" s="1" t="s">
        <v>1139</v>
      </c>
      <c r="D138" s="1" t="s">
        <v>1140</v>
      </c>
      <c r="E138" s="1" t="s">
        <v>1141</v>
      </c>
      <c r="F138" s="1" t="s">
        <v>1142</v>
      </c>
      <c r="I138" s="1" t="s">
        <v>710</v>
      </c>
      <c r="J138" s="1" t="s">
        <v>590</v>
      </c>
      <c r="K138" s="5" t="b">
        <f aca="false">TRUE()</f>
        <v>1</v>
      </c>
      <c r="L138" s="5" t="b">
        <f aca="false">TRUE()</f>
        <v>1</v>
      </c>
      <c r="M138" s="5" t="b">
        <f aca="false">FALSE()</f>
        <v>0</v>
      </c>
      <c r="N138" s="1" t="n">
        <f aca="false">LEN(Table1[[#This Row],[effect]])</f>
        <v>430</v>
      </c>
      <c r="O138" s="1" t="str">
        <f aca="false">Table1[[#This Row],[name]]</f>
        <v>Rayon de Transfert de Matière</v>
      </c>
    </row>
    <row r="139" s="1" customFormat="true" ht="15" hidden="true" customHeight="false" outlineLevel="0" collapsed="false">
      <c r="A139" s="1" t="s">
        <v>1143</v>
      </c>
      <c r="B139" s="1" t="s">
        <v>1143</v>
      </c>
      <c r="C139" s="1" t="s">
        <v>1143</v>
      </c>
      <c r="D139" s="1" t="s">
        <v>1144</v>
      </c>
      <c r="E139" s="1" t="s">
        <v>1145</v>
      </c>
      <c r="F139" s="1" t="s">
        <v>1146</v>
      </c>
      <c r="G139" s="1" t="s">
        <v>1147</v>
      </c>
      <c r="I139" s="1" t="s">
        <v>604</v>
      </c>
      <c r="J139" s="1" t="s">
        <v>685</v>
      </c>
      <c r="K139" s="5" t="b">
        <f aca="false">FALSE()</f>
        <v>0</v>
      </c>
      <c r="L139" s="5" t="b">
        <f aca="false">FALSE()</f>
        <v>0</v>
      </c>
      <c r="M139" s="5" t="b">
        <f aca="false">TRUE()</f>
        <v>1</v>
      </c>
      <c r="N139" s="1" t="n">
        <f aca="false">LEN(Table1[[#This Row],[effect]])</f>
        <v>441</v>
      </c>
      <c r="O139" s="1" t="str">
        <f aca="false">Table1[[#This Row],[name]]</f>
        <v>Régénération des Tissus</v>
      </c>
    </row>
    <row r="140" s="1" customFormat="true" ht="15" hidden="true" customHeight="false" outlineLevel="0" collapsed="false">
      <c r="A140" s="1" t="s">
        <v>1148</v>
      </c>
      <c r="B140" s="1" t="s">
        <v>1148</v>
      </c>
      <c r="C140" s="1" t="s">
        <v>1148</v>
      </c>
      <c r="D140" s="1" t="s">
        <v>1149</v>
      </c>
      <c r="E140" s="1" t="s">
        <v>1150</v>
      </c>
      <c r="F140" s="1" t="s">
        <v>1151</v>
      </c>
      <c r="I140" s="1" t="s">
        <v>18</v>
      </c>
      <c r="J140" s="1" t="s">
        <v>590</v>
      </c>
      <c r="K140" s="5" t="b">
        <f aca="false">TRUE()</f>
        <v>1</v>
      </c>
      <c r="L140" s="5" t="b">
        <f aca="false">TRUE()</f>
        <v>1</v>
      </c>
      <c r="M140" s="5" t="b">
        <f aca="false">FALSE()</f>
        <v>0</v>
      </c>
      <c r="N140" s="1" t="n">
        <f aca="false">LEN(Table1[[#This Row],[effect]])</f>
        <v>444</v>
      </c>
      <c r="O140" s="1" t="str">
        <f aca="false">Table1[[#This Row],[name]]</f>
        <v>Contrôle de Machine</v>
      </c>
    </row>
    <row r="141" s="1" customFormat="true" ht="15" hidden="true" customHeight="false" outlineLevel="0" collapsed="false">
      <c r="A141" s="1" t="s">
        <v>1152</v>
      </c>
      <c r="B141" s="1" t="s">
        <v>1152</v>
      </c>
      <c r="C141" s="1" t="s">
        <v>1152</v>
      </c>
      <c r="D141" s="1" t="s">
        <v>1153</v>
      </c>
      <c r="E141" s="1" t="s">
        <v>1154</v>
      </c>
      <c r="F141" s="1" t="s">
        <v>1155</v>
      </c>
      <c r="I141" s="1" t="s">
        <v>18</v>
      </c>
      <c r="J141" s="1" t="s">
        <v>615</v>
      </c>
      <c r="K141" s="5" t="b">
        <f aca="false">TRUE()</f>
        <v>1</v>
      </c>
      <c r="L141" s="5" t="b">
        <f aca="false">TRUE()</f>
        <v>1</v>
      </c>
      <c r="M141" s="5" t="b">
        <f aca="false">FALSE()</f>
        <v>0</v>
      </c>
      <c r="N141" s="1" t="n">
        <f aca="false">LEN(Table1[[#This Row],[effect]])</f>
        <v>444</v>
      </c>
      <c r="O141" s="1" t="str">
        <f aca="false">Table1[[#This Row],[name]]</f>
        <v>Champ d'Environnement Personnel</v>
      </c>
    </row>
    <row r="142" s="1" customFormat="true" ht="15" hidden="true" customHeight="false" outlineLevel="0" collapsed="false">
      <c r="A142" s="1" t="s">
        <v>1156</v>
      </c>
      <c r="B142" s="1" t="s">
        <v>1156</v>
      </c>
      <c r="C142" s="1" t="s">
        <v>1156</v>
      </c>
      <c r="D142" s="1" t="s">
        <v>1157</v>
      </c>
      <c r="E142" s="1" t="s">
        <v>1158</v>
      </c>
      <c r="F142" s="1" t="s">
        <v>1159</v>
      </c>
      <c r="I142" s="1" t="s">
        <v>18</v>
      </c>
      <c r="J142" s="1" t="s">
        <v>605</v>
      </c>
      <c r="K142" s="5" t="b">
        <f aca="false">TRUE()</f>
        <v>1</v>
      </c>
      <c r="L142" s="5" t="b">
        <f aca="false">TRUE()</f>
        <v>1</v>
      </c>
      <c r="M142" s="5" t="b">
        <f aca="false">FALSE()</f>
        <v>0</v>
      </c>
      <c r="N142" s="1" t="n">
        <f aca="false">LEN(Table1[[#This Row],[effect]])</f>
        <v>453</v>
      </c>
      <c r="O142" s="1" t="str">
        <f aca="false">Table1[[#This Row],[name]]</f>
        <v>Module de Déguisement</v>
      </c>
    </row>
    <row r="143" s="1" customFormat="true" ht="15" hidden="true" customHeight="false" outlineLevel="0" collapsed="false">
      <c r="A143" s="1" t="s">
        <v>1160</v>
      </c>
      <c r="B143" s="1" t="s">
        <v>1160</v>
      </c>
      <c r="C143" s="1" t="s">
        <v>1160</v>
      </c>
      <c r="D143" s="1" t="s">
        <v>1161</v>
      </c>
      <c r="E143" s="1" t="s">
        <v>1162</v>
      </c>
      <c r="F143" s="1" t="s">
        <v>1163</v>
      </c>
      <c r="I143" s="1" t="s">
        <v>18</v>
      </c>
      <c r="J143" s="1" t="s">
        <v>685</v>
      </c>
      <c r="K143" s="5" t="b">
        <f aca="false">TRUE()</f>
        <v>1</v>
      </c>
      <c r="L143" s="5" t="b">
        <f aca="false">TRUE()</f>
        <v>1</v>
      </c>
      <c r="M143" s="5" t="b">
        <f aca="false">FALSE()</f>
        <v>0</v>
      </c>
      <c r="N143" s="1" t="n">
        <f aca="false">LEN(Table1[[#This Row],[effect]])</f>
        <v>464</v>
      </c>
      <c r="O143" s="1" t="str">
        <f aca="false">Table1[[#This Row],[name]]</f>
        <v>Disparition</v>
      </c>
    </row>
    <row r="144" customFormat="false" ht="15" hidden="true" customHeight="false" outlineLevel="0" collapsed="false">
      <c r="A144" s="4" t="s">
        <v>1164</v>
      </c>
      <c r="B144" s="4" t="s">
        <v>1164</v>
      </c>
      <c r="C144" s="4" t="s">
        <v>1164</v>
      </c>
      <c r="D144" s="4" t="s">
        <v>1165</v>
      </c>
      <c r="E144" s="4" t="s">
        <v>1166</v>
      </c>
      <c r="F144" s="4" t="s">
        <v>1167</v>
      </c>
      <c r="H144" s="4" t="s">
        <v>782</v>
      </c>
      <c r="I144" s="4" t="s">
        <v>18</v>
      </c>
      <c r="J144" s="4" t="s">
        <v>625</v>
      </c>
      <c r="K144" s="7" t="b">
        <f aca="false">TRUE()</f>
        <v>1</v>
      </c>
      <c r="L144" s="7" t="b">
        <f aca="false">FALSE()</f>
        <v>0</v>
      </c>
      <c r="M144" s="7" t="b">
        <f aca="false">FALSE()</f>
        <v>0</v>
      </c>
      <c r="N144" s="4" t="n">
        <f aca="false">LEN(Table1[[#This Row],[effect]])</f>
        <v>478</v>
      </c>
      <c r="O144" s="4" t="str">
        <f aca="false">Table1[[#This Row],[name]]</f>
        <v>Détonation (Prolifération)</v>
      </c>
    </row>
    <row r="145" s="1" customFormat="true" ht="3102.95" hidden="true" customHeight="false" outlineLevel="0" collapsed="false">
      <c r="A145" s="1" t="s">
        <v>1168</v>
      </c>
      <c r="B145" s="1" t="s">
        <v>1168</v>
      </c>
      <c r="C145" s="1" t="s">
        <v>1168</v>
      </c>
      <c r="D145" s="1" t="s">
        <v>1169</v>
      </c>
      <c r="E145" s="1" t="s">
        <v>1170</v>
      </c>
      <c r="F145" s="1" t="s">
        <v>1171</v>
      </c>
      <c r="H145" s="6" t="s">
        <v>1172</v>
      </c>
      <c r="I145" s="1" t="s">
        <v>18</v>
      </c>
      <c r="J145" s="1" t="s">
        <v>590</v>
      </c>
      <c r="K145" s="5" t="b">
        <f aca="false">TRUE()</f>
        <v>1</v>
      </c>
      <c r="L145" s="5" t="b">
        <f aca="false">TRUE()</f>
        <v>1</v>
      </c>
      <c r="M145" s="5" t="b">
        <f aca="false">FALSE()</f>
        <v>0</v>
      </c>
      <c r="N145" s="1" t="n">
        <f aca="false">LEN(Table1[[#This Row],[effect]])</f>
        <v>508</v>
      </c>
      <c r="O145" s="1" t="str">
        <f aca="false">Table1[[#This Row],[name]]</f>
        <v>Brouilleur Mental</v>
      </c>
    </row>
    <row r="146" s="1" customFormat="true" ht="3143.25" hidden="true" customHeight="false" outlineLevel="0" collapsed="false">
      <c r="A146" s="1" t="s">
        <v>1173</v>
      </c>
      <c r="B146" s="1" t="s">
        <v>1173</v>
      </c>
      <c r="C146" s="1" t="s">
        <v>1173</v>
      </c>
      <c r="D146" s="1" t="s">
        <v>1174</v>
      </c>
      <c r="E146" s="1" t="s">
        <v>1175</v>
      </c>
      <c r="F146" s="1" t="s">
        <v>1176</v>
      </c>
      <c r="H146" s="6" t="s">
        <v>1177</v>
      </c>
      <c r="I146" s="1" t="s">
        <v>568</v>
      </c>
      <c r="J146" s="1" t="s">
        <v>631</v>
      </c>
      <c r="K146" s="5" t="b">
        <f aca="false">FALSE()</f>
        <v>0</v>
      </c>
      <c r="L146" s="5" t="b">
        <f aca="false">FALSE()</f>
        <v>0</v>
      </c>
      <c r="M146" s="5" t="b">
        <f aca="false">TRUE()</f>
        <v>1</v>
      </c>
      <c r="N146" s="1" t="n">
        <f aca="false">LEN(Table1[[#This Row],[effect]])</f>
        <v>528</v>
      </c>
      <c r="O146" s="1" t="str">
        <f aca="false">Table1[[#This Row],[name]]</f>
        <v>Amélioration de Compétence</v>
      </c>
    </row>
    <row r="147" s="1" customFormat="true" ht="15" hidden="true" customHeight="false" outlineLevel="0" collapsed="false">
      <c r="A147" s="1" t="s">
        <v>1178</v>
      </c>
      <c r="B147" s="1" t="s">
        <v>1178</v>
      </c>
      <c r="C147" s="1" t="s">
        <v>1178</v>
      </c>
      <c r="D147" s="1" t="s">
        <v>1179</v>
      </c>
      <c r="E147" s="1" t="s">
        <v>1180</v>
      </c>
      <c r="F147" s="1" t="s">
        <v>1181</v>
      </c>
      <c r="I147" s="1" t="s">
        <v>710</v>
      </c>
      <c r="J147" s="1" t="s">
        <v>569</v>
      </c>
      <c r="K147" s="5" t="b">
        <f aca="false">TRUE()</f>
        <v>1</v>
      </c>
      <c r="L147" s="5" t="b">
        <f aca="false">TRUE()</f>
        <v>1</v>
      </c>
      <c r="M147" s="5" t="b">
        <f aca="false">FALSE()</f>
        <v>0</v>
      </c>
      <c r="N147" s="1" t="n">
        <f aca="false">LEN(Table1[[#This Row],[effect]])</f>
        <v>529</v>
      </c>
      <c r="O147" s="1" t="str">
        <f aca="false">Table1[[#This Row],[name]]</f>
        <v>Champ de Subjugation</v>
      </c>
    </row>
    <row r="148" s="1" customFormat="true" ht="15" hidden="true" customHeight="false" outlineLevel="0" collapsed="false">
      <c r="A148" s="1" t="s">
        <v>1182</v>
      </c>
      <c r="B148" s="1" t="s">
        <v>1182</v>
      </c>
      <c r="C148" s="1" t="s">
        <v>1182</v>
      </c>
      <c r="D148" s="1" t="s">
        <v>1183</v>
      </c>
      <c r="E148" s="1" t="s">
        <v>1184</v>
      </c>
      <c r="F148" s="1" t="s">
        <v>1185</v>
      </c>
      <c r="I148" s="1" t="s">
        <v>18</v>
      </c>
      <c r="J148" s="1" t="s">
        <v>631</v>
      </c>
      <c r="K148" s="5" t="b">
        <f aca="false">TRUE()</f>
        <v>1</v>
      </c>
      <c r="L148" s="5" t="b">
        <f aca="false">TRUE()</f>
        <v>1</v>
      </c>
      <c r="M148" s="5" t="b">
        <f aca="false">FALSE()</f>
        <v>0</v>
      </c>
      <c r="N148" s="1" t="n">
        <f aca="false">LEN(Table1[[#This Row],[effect]])</f>
        <v>531</v>
      </c>
      <c r="O148" s="1" t="str">
        <f aca="false">Table1[[#This Row],[name]]</f>
        <v>Fabricant d'Esclaves</v>
      </c>
    </row>
    <row r="149" s="1" customFormat="true" ht="15" hidden="true" customHeight="false" outlineLevel="0" collapsed="false">
      <c r="A149" s="1" t="s">
        <v>1186</v>
      </c>
      <c r="B149" s="1" t="s">
        <v>1186</v>
      </c>
      <c r="C149" s="1" t="s">
        <v>1186</v>
      </c>
      <c r="D149" s="1" t="s">
        <v>313</v>
      </c>
      <c r="E149" s="1" t="s">
        <v>1187</v>
      </c>
      <c r="F149" s="1" t="s">
        <v>1188</v>
      </c>
      <c r="I149" s="1" t="s">
        <v>568</v>
      </c>
      <c r="J149" s="1" t="s">
        <v>757</v>
      </c>
      <c r="K149" s="5" t="b">
        <f aca="false">TRUE()</f>
        <v>1</v>
      </c>
      <c r="L149" s="5" t="b">
        <f aca="false">FALSE()</f>
        <v>0</v>
      </c>
      <c r="M149" s="5" t="b">
        <f aca="false">FALSE()</f>
        <v>0</v>
      </c>
      <c r="N149" s="1" t="n">
        <f aca="false">LEN(Table1[[#This Row],[effect]])</f>
        <v>539</v>
      </c>
      <c r="O149" s="1" t="str">
        <f aca="false">Table1[[#This Row],[name]]</f>
        <v>Infiltrateur</v>
      </c>
    </row>
    <row r="150" s="1" customFormat="true" ht="15" hidden="true" customHeight="false" outlineLevel="0" collapsed="false">
      <c r="A150" s="1" t="s">
        <v>1189</v>
      </c>
      <c r="B150" s="1" t="s">
        <v>1189</v>
      </c>
      <c r="C150" s="1" t="s">
        <v>1189</v>
      </c>
      <c r="D150" s="1" t="s">
        <v>1190</v>
      </c>
      <c r="E150" s="1" t="s">
        <v>1190</v>
      </c>
      <c r="F150" s="1" t="s">
        <v>1191</v>
      </c>
      <c r="I150" s="1" t="s">
        <v>18</v>
      </c>
      <c r="J150" s="1" t="s">
        <v>658</v>
      </c>
      <c r="K150" s="5" t="b">
        <f aca="false">FALSE()</f>
        <v>0</v>
      </c>
      <c r="L150" s="5" t="b">
        <f aca="false">FALSE()</f>
        <v>0</v>
      </c>
      <c r="M150" s="5" t="b">
        <f aca="false">TRUE()</f>
        <v>1</v>
      </c>
      <c r="N150" s="1" t="n">
        <f aca="false">LEN(Table1[[#This Row],[effect]])</f>
        <v>569</v>
      </c>
      <c r="O150" s="1" t="str">
        <f aca="false">Table1[[#This Row],[name]]</f>
        <v>Secret</v>
      </c>
    </row>
    <row r="151" s="1" customFormat="true" ht="3076.1" hidden="true" customHeight="false" outlineLevel="0" collapsed="false">
      <c r="A151" s="1" t="s">
        <v>1192</v>
      </c>
      <c r="B151" s="1" t="s">
        <v>1192</v>
      </c>
      <c r="C151" s="1" t="s">
        <v>1192</v>
      </c>
      <c r="D151" s="1" t="s">
        <v>1193</v>
      </c>
      <c r="E151" s="1" t="s">
        <v>1194</v>
      </c>
      <c r="F151" s="1" t="s">
        <v>1195</v>
      </c>
      <c r="H151" s="6" t="s">
        <v>1196</v>
      </c>
      <c r="I151" s="1" t="s">
        <v>568</v>
      </c>
      <c r="J151" s="1" t="s">
        <v>636</v>
      </c>
      <c r="K151" s="5" t="b">
        <f aca="false">FALSE()</f>
        <v>0</v>
      </c>
      <c r="L151" s="5" t="b">
        <f aca="false">FALSE()</f>
        <v>0</v>
      </c>
      <c r="M151" s="5" t="b">
        <f aca="false">TRUE()</f>
        <v>1</v>
      </c>
      <c r="N151" s="1" t="n">
        <f aca="false">LEN(Table1[[#This Row],[effect]])</f>
        <v>633</v>
      </c>
      <c r="O151" s="1" t="str">
        <f aca="false">Table1[[#This Row],[name]]</f>
        <v>Amélioration de la Connaissance</v>
      </c>
    </row>
    <row r="152" s="1" customFormat="true" ht="15" hidden="true" customHeight="false" outlineLevel="0" collapsed="false">
      <c r="A152" s="1" t="s">
        <v>1197</v>
      </c>
      <c r="B152" s="1" t="s">
        <v>1197</v>
      </c>
      <c r="C152" s="1" t="s">
        <v>1197</v>
      </c>
      <c r="D152" s="1" t="s">
        <v>1198</v>
      </c>
      <c r="E152" s="1" t="s">
        <v>1199</v>
      </c>
      <c r="F152" s="1" t="s">
        <v>1200</v>
      </c>
      <c r="I152" s="1" t="s">
        <v>624</v>
      </c>
      <c r="J152" s="1" t="s">
        <v>605</v>
      </c>
      <c r="K152" s="5" t="b">
        <f aca="false">FALSE()</f>
        <v>0</v>
      </c>
      <c r="L152" s="5" t="b">
        <f aca="false">FALSE()</f>
        <v>0</v>
      </c>
      <c r="M152" s="5" t="b">
        <f aca="false">TRUE()</f>
        <v>1</v>
      </c>
      <c r="N152" s="1" t="n">
        <f aca="false">LEN(Table1[[#This Row],[effect]])</f>
        <v>633</v>
      </c>
      <c r="O152" s="1" t="str">
        <f aca="false">Table1[[#This Row],[name]]</f>
        <v>Résistance aux Effets</v>
      </c>
    </row>
    <row r="153" s="1" customFormat="true" ht="15" hidden="true" customHeight="false" outlineLevel="0" collapsed="false">
      <c r="A153" s="1" t="s">
        <v>1201</v>
      </c>
      <c r="B153" s="1" t="s">
        <v>1201</v>
      </c>
      <c r="C153" s="1" t="s">
        <v>1201</v>
      </c>
      <c r="D153" s="1" t="s">
        <v>1202</v>
      </c>
      <c r="E153" s="1" t="s">
        <v>1203</v>
      </c>
      <c r="F153" s="1" t="s">
        <v>1204</v>
      </c>
      <c r="I153" s="1" t="s">
        <v>18</v>
      </c>
      <c r="J153" s="1" t="s">
        <v>609</v>
      </c>
      <c r="K153" s="5" t="b">
        <f aca="false">FALSE()</f>
        <v>0</v>
      </c>
      <c r="L153" s="5" t="b">
        <f aca="false">FALSE()</f>
        <v>0</v>
      </c>
      <c r="M153" s="5" t="b">
        <f aca="false">TRUE()</f>
        <v>1</v>
      </c>
      <c r="N153" s="1" t="n">
        <f aca="false">LEN(Table1[[#This Row],[effect]])</f>
        <v>664</v>
      </c>
      <c r="O153" s="1" t="str">
        <f aca="false">Table1[[#This Row],[name]]</f>
        <v>Activateur Contingent</v>
      </c>
    </row>
    <row r="154" s="1" customFormat="true" ht="15" hidden="true" customHeight="false" outlineLevel="0" collapsed="false">
      <c r="A154" s="1" t="s">
        <v>1205</v>
      </c>
      <c r="B154" s="1" t="s">
        <v>1205</v>
      </c>
      <c r="C154" s="1" t="s">
        <v>1205</v>
      </c>
      <c r="D154" s="1" t="s">
        <v>1206</v>
      </c>
      <c r="E154" s="1" t="s">
        <v>1207</v>
      </c>
      <c r="F154" s="1" t="s">
        <v>1208</v>
      </c>
      <c r="I154" s="1" t="s">
        <v>18</v>
      </c>
      <c r="J154" s="1" t="s">
        <v>590</v>
      </c>
      <c r="K154" s="5" t="b">
        <f aca="false">TRUE()</f>
        <v>1</v>
      </c>
      <c r="L154" s="5" t="b">
        <f aca="false">TRUE()</f>
        <v>1</v>
      </c>
      <c r="M154" s="5" t="b">
        <f aca="false">FALSE()</f>
        <v>0</v>
      </c>
      <c r="N154" s="1" t="n">
        <f aca="false">LEN(Table1[[#This Row],[effect]])</f>
        <v>760</v>
      </c>
      <c r="O154" s="1" t="str">
        <f aca="false">Table1[[#This Row],[name]]</f>
        <v>Faisceau de Manipulation</v>
      </c>
    </row>
    <row r="155" s="1" customFormat="true" ht="15" hidden="true" customHeight="false" outlineLevel="0" collapsed="false">
      <c r="A155" s="1" t="s">
        <v>1209</v>
      </c>
      <c r="B155" s="1" t="s">
        <v>1209</v>
      </c>
      <c r="C155" s="1" t="s">
        <v>1209</v>
      </c>
      <c r="D155" s="1" t="s">
        <v>1210</v>
      </c>
      <c r="E155" s="1" t="s">
        <v>1211</v>
      </c>
      <c r="F155" s="1" t="s">
        <v>1212</v>
      </c>
      <c r="I155" s="1" t="s">
        <v>18</v>
      </c>
      <c r="J155" s="1" t="s">
        <v>569</v>
      </c>
      <c r="K155" s="5" t="b">
        <f aca="false">TRUE()</f>
        <v>1</v>
      </c>
      <c r="L155" s="5" t="b">
        <f aca="false">FALSE()</f>
        <v>0</v>
      </c>
      <c r="M155" s="5" t="b">
        <f aca="false">FALSE()</f>
        <v>0</v>
      </c>
      <c r="N155" s="1" t="n">
        <f aca="false">LEN(Table1[[#This Row],[effect]])</f>
        <v>882</v>
      </c>
      <c r="O155" s="1" t="str">
        <f aca="false">Table1[[#This Row],[name]]</f>
        <v>Espion</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CYEAABQSwMEFAACAAgAu4NDWZmpqESlAAAA+AAAABIAHABDb25maWcvUGFja2FnZS54bWwgohgAKKAUAAAAAAAAAAAAAAAAAAAAAAAAAAAAhY9BCsIwFESvUrJvkkYRKb/pwq0FQRC3IY012P5Kk5rezYVH8gpWtOrO5cw8mJn79Qb50NTRxXTOtpiRhHISGdRtabHKSO8P8ZLkEjZKn1RlohFGlw6uzMjR+3PKWAiBhhltu4oJzhO2L9ZbfTSNIh/Y/odji84r1IZI2L3GSEETsaBizgXlwCYXCotfQoyDn+mPCau+9n1npMF47AA2aWDvF/IBUEsDBBQAAgAIALuDQ1k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C7g0NZXI3+rB8BAADkAQAAEwAcAEZvcm11bGFzL1NlY3Rpb24xLm0gohgAKKAUAAAAAAAAAAAAAAAAAAAAAAAAAAAAdVDBasJAEL0H8g/D9hJhCQrWQyWHEivtRWzjTXvYbkYNbHZlZ2IbxH/v2ghKa/cyO+8Nb94bQs2Vs1B0dTCOoziirfJYwlpZVtTqdrdF7wkyMMhxBOEVrvEaA5LTPp043dRoOZlWBtPcWQ4NJSJ/WNFnyc4ZWmny5eqXYKppL3pyOUFT1RWjz8RYSMidaWpL2VDCk9WurOwmG933+wMJr41jLLg1mF2+6cxZfO/JztmdmHtXB66EZ1QlehLB5kJ9hMEzc8aTLoSE5Rl/NKbQyihPGfvmWjLfKrsJiot2hxe5hVeW1s7XneMTScmN/fJwENMuOsxUjSEjh1lg/OKjhIPIfw7yD1e8wVxt/hIBeLE8GqanvcdjL44qe9Pv+BtQSwECLQAUAAIACAC7g0NZmamoRKUAAAD4AAAAEgAAAAAAAAAAAAAAAAAAAAAAQ29uZmlnL1BhY2thZ2UueG1sUEsBAi0AFAACAAgAu4NDWQ/K6aukAAAA6QAAABMAAAAAAAAAAAAAAAAA8QAAAFtDb250ZW50X1R5cGVzXS54bWxQSwECLQAUAAIACAC7g0NZXI3+rB8BAADkAQAAEwAAAAAAAAAAAAAAAADiAQAARm9ybXVsYXMvU2VjdGlvbjEubVBLBQYAAAAAAwADAMIAAABOAw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CgAAAAAAAJ0K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ZmFudGFzeWN5cGhlcnJz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MjBiY2VkYWMtYzMxZC00MWVjLTk0MjYtNWU4Y2FlYWY0OGZiIiAvPjxFbnRyeSBUeXBlPSJCdWZmZXJOZXh0UmVmcmVzaCIgVmFsdWU9ImwxIiAvPjxFbnRyeSBUeXBlPSJSZXN1bHRUeXBlIiBWYWx1ZT0ic1RhYmxlIiAvPjxFbnRyeSBUeXBlPSJOYW1lVXBkYXRlZEFmdGVyRmlsbCIgVmFsdWU9ImwwIiAvPjxFbnRyeSBUeXBlPSJGaWxsVGFyZ2V0IiBWYWx1ZT0ic2ZhbnRhc3ljeXBoZXJycyIgLz48RW50cnkgVHlwZT0iRmlsbGVkQ29tcGxldGVSZXN1bHRUb1dvcmtzaGVldCIgVmFsdWU9ImwxIiAvPjxFbnRyeSBUeXBlPSJBZGRlZFRvRGF0YU1vZGVsIiBWYWx1ZT0ibDAiIC8+PEVudHJ5IFR5cGU9IkZpbGxDb3VudCIgVmFsdWU9ImwxOTMiIC8+PEVudHJ5IFR5cGU9IkZpbGxFcnJvckNvZGUiIFZhbHVlPSJzVW5rbm93biIgLz48RW50cnkgVHlwZT0iRmlsbEVycm9yQ291bnQiIFZhbHVlPSJsMCIgLz48RW50cnkgVHlwZT0iRmlsbExhc3RVcGRhdGVkIiBWYWx1ZT0iZDIwMjQtMTAtMDNUMTQ6Mjk6NTQuOTc4MzMwMloiIC8+PEVudHJ5IFR5cGU9IkZpbGxDb2x1bW5UeXBlcyIgVmFsdWU9InNCZ1lHQXc9PSIgLz48RW50cnkgVHlwZT0iRmlsbENvbHVtbk5hbWVzIiBWYWx1ZT0ic1smcXVvdDtGYW50YXN5IE5hbWUmcXVvdDssJnF1b3Q7Q3lwaGVyIE5hbWUmcXVvdDssJnF1b3Q7Q1NSIFBhZ2UmcXVvdDssJnF1b3Q7Q29sdW1uMSZxdW90O10iIC8+PEVudHJ5IFR5cGU9IkZpbGxTdGF0dXMiIFZhbHVlPSJzQ29tcGxldGUiIC8+PEVudHJ5IFR5cGU9IlJlbGF0aW9uc2hpcEluZm9Db250YWluZXIiIFZhbHVlPSJzeyZxdW90O2NvbHVtbkNvdW50JnF1b3Q7OjQsJnF1b3Q7a2V5Q29sdW1uTmFtZXMmcXVvdDs6W10sJnF1b3Q7cXVlcnlSZWxhdGlvbnNoaXBzJnF1b3Q7OltdLCZxdW90O2NvbHVtbklkZW50aXRpZXMmcXVvdDs6WyZxdW90O1NlY3Rpb24xL2ZhbnRhc3ljeXBoZXJycy9BdXRvUmVtb3ZlZENvbHVtbnMxLntGYW50YXN5IE5hbWUsMH0mcXVvdDssJnF1b3Q7U2VjdGlvbjEvZmFudGFzeWN5cGhlcnJzL0F1dG9SZW1vdmVkQ29sdW1uczEue0N5cGhlciBOYW1lLDF9JnF1b3Q7LCZxdW90O1NlY3Rpb24xL2ZhbnRhc3ljeXBoZXJycy9BdXRvUmVtb3ZlZENvbHVtbnMxLntDU1IgUGFnZSwyfSZxdW90OywmcXVvdDtTZWN0aW9uMS9mYW50YXN5Y3lwaGVycnMvQXV0b1JlbW92ZWRDb2x1bW5zMS57Q29sdW1uMSwzfSZxdW90O10sJnF1b3Q7Q29sdW1uQ291bnQmcXVvdDs6NCwmcXVvdDtLZXlDb2x1bW5OYW1lcyZxdW90OzpbXSwmcXVvdDtDb2x1bW5JZGVudGl0aWVzJnF1b3Q7OlsmcXVvdDtTZWN0aW9uMS9mYW50YXN5Y3lwaGVycnMvQXV0b1JlbW92ZWRDb2x1bW5zMS57RmFudGFzeSBOYW1lLDB9JnF1b3Q7LCZxdW90O1NlY3Rpb24xL2ZhbnRhc3ljeXBoZXJycy9BdXRvUmVtb3ZlZENvbHVtbnMxLntDeXBoZXIgTmFtZSwxfSZxdW90OywmcXVvdDtTZWN0aW9uMS9mYW50YXN5Y3lwaGVycnMvQXV0b1JlbW92ZWRDb2x1bW5zMS57Q1NSIFBhZ2UsMn0mcXVvdDssJnF1b3Q7U2VjdGlvbjEvZmFudGFzeWN5cGhlcnJzL0F1dG9SZW1vdmVkQ29sdW1uczEue0NvbHVtbjEsM30mcXVvdDtdLCZxdW90O1JlbGF0aW9uc2hpcEluZm8mcXVvdDs6W119IiAvPjwvU3RhYmxlRW50cmllcz48L0l0ZW0+PEl0ZW0+PEl0ZW1Mb2NhdGlvbj48SXRlbVR5cGU+Rm9ybXVsYTwvSXRlbVR5cGU+PEl0ZW1QYXRoPlNlY3Rpb24xL2ZhbnRhc3ljeXBoZXJycy9Tb3VyY2U8L0l0ZW1QYXRoPjwvSXRlbUxvY2F0aW9uPjxTdGFibGVFbnRyaWVzIC8+PC9JdGVtPjxJdGVtPjxJdGVtTG9jYXRpb24+PEl0ZW1UeXBlPkZvcm11bGE8L0l0ZW1UeXBlPjxJdGVtUGF0aD5TZWN0aW9uMS9mYW50YXN5Y3lwaGVycnMvUHJvbW90ZWQlMjBIZWFkZXJzPC9JdGVtUGF0aD48L0l0ZW1Mb2NhdGlvbj48U3RhYmxlRW50cmllcyAvPjwvSXRlbT48SXRlbT48SXRlbUxvY2F0aW9uPjxJdGVtVHlwZT5Gb3JtdWxhPC9JdGVtVHlwZT48SXRlbVBhdGg+U2VjdGlvbjEvZmFudGFzeWN5cGhlcnJzL0NoYW5nZWQlMjBUeXBlPC9JdGVtUGF0aD48L0l0ZW1Mb2NhdGlvbj48U3RhYmxlRW50cmllcyAvPjwvSXRlbT48L0l0ZW1zPjwvTG9jYWxQYWNrYWdlTWV0YWRhdGFGaWxlPhYAAABQSwUGAAAAAAAAAAAAAAAAAAAAAAAA2gAAAAEAAADQjJ3fARXREYx6AMBPwpfrAQAAAD90qBU9didLkhBuWzOd3G8AAAAAAgAAAAAAA2YAAMAAAAAQAAAAPLlmamJ7KIyZsHRoJ0ISWgAAAAAEgAAAoAAAABAAAAAkAdMeqagDeI5/DzUTDIAtUAAAAIQJuh9NIkDd9Hx/2BkKm4cYtZPhyWafi2bRNWSwtGM0+OTxlpwm145+8w4toNVIiY2hVzzAeo6I3PKlOLxP4Al5YVsmzhBc47LU90eCiw/bFAAAAGCjawtZLCm2sviWAc2wDqcRSdnM</DataMashup>
</file>

<file path=customXml/itemProps1.xml><?xml version="1.0" encoding="utf-8"?>
<ds:datastoreItem xmlns:ds="http://schemas.openxmlformats.org/officeDocument/2006/customXml" ds:itemID="{2EB01C08-7695-4E3D-9F19-FD271406E1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15</TotalTime>
  <Application>LibreOffice/24.2.5.2$Linux_X86_64 LibreOffice_project/420$Build-2</Application>
  <AppVersion>15.0000</AppVersion>
  <Company>HSBC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2024-10-03T14:28:16Z</dcterms:created>
  <dc:creator>Nicolas LAUREAUX</dc:creator>
  <dc:description/>
  <dc:language>fr-FR</dc:language>
  <cp:lastModifiedBy/>
  <dcterms:modified xsi:type="dcterms:W3CDTF">2024-10-03T20:00:25Z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7d40fb-554b-4dd3-bbeb-f408eac3a163_ActionId">
    <vt:lpwstr>94f08d60-67e3-4448-b6c7-c31bcda56d8a</vt:lpwstr>
  </property>
  <property fmtid="{D5CDD505-2E9C-101B-9397-08002B2CF9AE}" pid="3" name="MSIP_Label_d77d40fb-554b-4dd3-bbeb-f408eac3a163_ContentBits">
    <vt:lpwstr>0</vt:lpwstr>
  </property>
  <property fmtid="{D5CDD505-2E9C-101B-9397-08002B2CF9AE}" pid="4" name="MSIP_Label_d77d40fb-554b-4dd3-bbeb-f408eac3a163_Enabled">
    <vt:lpwstr>true</vt:lpwstr>
  </property>
  <property fmtid="{D5CDD505-2E9C-101B-9397-08002B2CF9AE}" pid="5" name="MSIP_Label_d77d40fb-554b-4dd3-bbeb-f408eac3a163_Method">
    <vt:lpwstr>Privileged</vt:lpwstr>
  </property>
  <property fmtid="{D5CDD505-2E9C-101B-9397-08002B2CF9AE}" pid="6" name="MSIP_Label_d77d40fb-554b-4dd3-bbeb-f408eac3a163_Name">
    <vt:lpwstr>CFRNOTAPP</vt:lpwstr>
  </property>
  <property fmtid="{D5CDD505-2E9C-101B-9397-08002B2CF9AE}" pid="7" name="MSIP_Label_d77d40fb-554b-4dd3-bbeb-f408eac3a163_SetDate">
    <vt:lpwstr>2024-10-03T14:34:35Z</vt:lpwstr>
  </property>
  <property fmtid="{D5CDD505-2E9C-101B-9397-08002B2CF9AE}" pid="8" name="MSIP_Label_d77d40fb-554b-4dd3-bbeb-f408eac3a163_SiteId">
    <vt:lpwstr>e0fd434d-ba64-497b-90d2-859c472e1a92</vt:lpwstr>
  </property>
</Properties>
</file>